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weep 1" sheetId="1" state="visible" r:id="rId3"/>
    <sheet name="Sweep 2" sheetId="2" state="visible" r:id="rId4"/>
    <sheet name="Inputs" sheetId="3" state="visible" r:id="rId5"/>
    <sheet name="Theo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<sst xmlns="http://schemas.openxmlformats.org/spreadsheetml/2006/main" count="193" uniqueCount="94">
  <si>
    <t xml:space="preserve">Sweep 1 on a 6 × 6 grid</t>
  </si>
  <si>
    <t xml:space="preserve">Jacobi update: every new value is the average of its four neighbours taken from the OLD grid only. Boundary cells never change.</t>
  </si>
  <si>
    <t xml:space="preserve">T_old: grid before sweep 1</t>
  </si>
  <si>
    <t xml:space="preserve">T_new: grid after sweep 1</t>
  </si>
  <si>
    <t xml:space="preserve">j=0</t>
  </si>
  <si>
    <t xml:space="preserve">j=1</t>
  </si>
  <si>
    <t xml:space="preserve">j=2</t>
  </si>
  <si>
    <t xml:space="preserve">j=3</t>
  </si>
  <si>
    <t xml:space="preserve">j=4</t>
  </si>
  <si>
    <t xml:space="preserve">j=5</t>
  </si>
  <si>
    <t xml:space="preserve">i=0</t>
  </si>
  <si>
    <t xml:space="preserve">i=1</t>
  </si>
  <si>
    <t xml:space="preserve">i=2</t>
  </si>
  <si>
    <t xml:space="preserve">i=3</t>
  </si>
  <si>
    <t xml:space="preserve">i=4</t>
  </si>
  <si>
    <t xml:space="preserve">i=5</t>
  </si>
  <si>
    <t xml:space="preserve">Corner cells are never used by the stencil. They are shown as the average of their two edges.</t>
  </si>
  <si>
    <t xml:space="preserve">|T_new − T_old|: change in each cell</t>
  </si>
  <si>
    <t xml:space="preserve">Convergence check</t>
  </si>
  <si>
    <t xml:space="preserve">Max change in this sweep</t>
  </si>
  <si>
    <t xml:space="preserve">Tolerance ε</t>
  </si>
  <si>
    <t xml:space="preserve">Converged?</t>
  </si>
  <si>
    <t xml:space="preserve">Max change uses the 4 × 4 interior only.</t>
  </si>
  <si>
    <t xml:space="preserve">Cell-by-cell calculation (interior cells, row by row)</t>
  </si>
  <si>
    <t xml:space="preserve">Formula in every row: T_new(i,j) = [ above + below + left + right ] ÷ 4. The cell's own old value is only used to measure the change.</t>
  </si>
  <si>
    <t xml:space="preserve">Cell (i,j)</t>
  </si>
  <si>
    <t xml:space="preserve">Above T_old(i−1,j)</t>
  </si>
  <si>
    <t xml:space="preserve">Below T_old(i+1,j)</t>
  </si>
  <si>
    <t xml:space="preserve">Left T_old(i,j−1)</t>
  </si>
  <si>
    <t xml:space="preserve">Right T_old(i,j+1)</t>
  </si>
  <si>
    <t xml:space="preserve">Sum of four</t>
  </si>
  <si>
    <t xml:space="preserve">T_new = Sum ÷ 4</t>
  </si>
  <si>
    <t xml:space="preserve">Old value T_old(i,j)</t>
  </si>
  <si>
    <t xml:space="preserve">|Change|</t>
  </si>
  <si>
    <t xml:space="preserve">(1,1)</t>
  </si>
  <si>
    <t xml:space="preserve">(1,2)</t>
  </si>
  <si>
    <t xml:space="preserve">(1,3)</t>
  </si>
  <si>
    <t xml:space="preserve">(1,4)</t>
  </si>
  <si>
    <t xml:space="preserve">(2,1)</t>
  </si>
  <si>
    <t xml:space="preserve">(2,2)</t>
  </si>
  <si>
    <t xml:space="preserve">(2,3)</t>
  </si>
  <si>
    <t xml:space="preserve">(2,4)</t>
  </si>
  <si>
    <t xml:space="preserve">(3,1)</t>
  </si>
  <si>
    <t xml:space="preserve">(3,2)</t>
  </si>
  <si>
    <t xml:space="preserve">(3,3)</t>
  </si>
  <si>
    <t xml:space="preserve">(3,4)</t>
  </si>
  <si>
    <t xml:space="preserve">(4,1)</t>
  </si>
  <si>
    <t xml:space="preserve">(4,2)</t>
  </si>
  <si>
    <t xml:space="preserve">(4,3)</t>
  </si>
  <si>
    <t xml:space="preserve">(4,4)</t>
  </si>
  <si>
    <t xml:space="preserve">With the default inputs, reading the first row: cell (1,1) has 100 above it and 25 to its right (from sweep 1), so (100 + 0 + 0 + 25) ÷ 4 = 31.25. Row 2 now warms up too, because its upper neighbours became 25.</t>
  </si>
  <si>
    <t xml:space="preserve">Each new sweep repeats the same steps, using T_new as the next T_old, until the max change drops below ε.</t>
  </si>
  <si>
    <t xml:space="preserve">Sweep 2 on a 6 × 6 grid</t>
  </si>
  <si>
    <t xml:space="preserve">T_old on this sheet is linked to T_new on 'Sweep 1', so this sweep starts exactly where the last one stopped.</t>
  </si>
  <si>
    <t xml:space="preserve">T_old: grid before sweep 2</t>
  </si>
  <si>
    <t xml:space="preserve">T_new: grid after sweep 2</t>
  </si>
  <si>
    <t xml:space="preserve">Inputs</t>
  </si>
  <si>
    <t xml:space="preserve">Blue cells on a yellow fill are the only cells you edit. The other sheets recalculate.</t>
  </si>
  <si>
    <t xml:space="preserve">Top edge temperature (°)</t>
  </si>
  <si>
    <t xml:space="preserve">Row 0, held fixed. Same as the web page screenshot.</t>
  </si>
  <si>
    <t xml:space="preserve">Bottom edge temperature (°)</t>
  </si>
  <si>
    <t xml:space="preserve">Row 5, held fixed.</t>
  </si>
  <si>
    <t xml:space="preserve">Left edge temperature (°)</t>
  </si>
  <si>
    <t xml:space="preserve">Column 0, held fixed.</t>
  </si>
  <si>
    <t xml:space="preserve">Right edge temperature (°)</t>
  </si>
  <si>
    <t xml:space="preserve">Column 5, held fixed.</t>
  </si>
  <si>
    <t xml:space="preserve">Starting interior temperature (°)</t>
  </si>
  <si>
    <t xml:space="preserve">Every interior cell starts at this value (the page starts at 0°).</t>
  </si>
  <si>
    <t xml:space="preserve">Stop when the largest change in one sweep is below this.</t>
  </si>
  <si>
    <t xml:space="preserve">Grid size N</t>
  </si>
  <si>
    <t xml:space="preserve">Fixed at 6 × 6 in this workbook: 4 × 4 interior cells plus a one-cell border.</t>
  </si>
  <si>
    <t xml:space="preserve">Example row</t>
  </si>
  <si>
    <t xml:space="preserve">Top 100, Bottom 100, Left 0, Right 0, Interior 0, ε 0.1 is the setting that converged in 24 sweeps on the web page.</t>
  </si>
  <si>
    <t xml:space="preserve">Theory behind the calculation</t>
  </si>
  <si>
    <t xml:space="preserve">1. The physical problem</t>
  </si>
  <si>
    <t xml:space="preserve">A thin plate is held at fixed temperatures on its four edges. Heat flows from hot to cold until the temperatures stop changing. The final state is the steady state of the heat equation, written T_t = α(T_xx + T_yy). At steady state T_t = 0, which gives Laplace's equation: T_xx + T_yy = 0.</t>
  </si>
  <si>
    <t xml:space="preserve">2. Finite differences</t>
  </si>
  <si>
    <t xml:space="preserve">Cut the plate into a grid with spacing h. The second derivative in each direction is approximated by T_xx ≈ [T(i,j+1) − 2T(i,j) + T(i,j−1)] ÷ h² and T_yy ≈ [T(i+1,j) − 2T(i,j) + T(i−1,j)] ÷ h². Adding them and setting the sum to zero gives: T(i−1,j) + T(i+1,j) + T(i,j−1) + T(i,j+1) − 4T(i,j) = 0. This is the five-point stencil: it uses the centre cell and its four neighbours.</t>
  </si>
  <si>
    <t xml:space="preserve">3. The averaging rule</t>
  </si>
  <si>
    <t xml:space="preserve">Solving the stencil equation for T(i,j) gives T(i,j) = [T(i−1,j) + T(i+1,j) + T(i,j−1) + T(i,j+1)] ÷ 4. At steady state every interior cell equals the average of its four neighbours. The same rule also comes from stepping the heat equation forward in time with the explicit method: T_new = T + r × (sum of four − 4T). Choosing r = α·Δt ÷ h² = 1/4 cancels the T terms and leaves the plain average.</t>
  </si>
  <si>
    <t xml:space="preserve">4. Jacobi iteration</t>
  </si>
  <si>
    <t xml:space="preserve">The averaging equations for all interior cells form a linear system, and the Jacobi method solves it by repeating the averaging. Each sweep computes the whole new grid from the old grid only. In code this is double buffering: read from one array, write to another, then swap. Gauss–Seidel is a faster variant that reuses new values immediately, but it is not what this workbook uses.</t>
  </si>
  <si>
    <t xml:space="preserve">5. Boundary conditions</t>
  </si>
  <si>
    <t xml:space="preserve">The edges use fixed-temperature (Dirichlet) conditions. Boundary cells are never recalculated. Interior cells next to an edge read the edge value as their neighbour, which is how heat enters or leaves the plate. Interior cells touching two edges simply have two fixed neighbours.</t>
  </si>
  <si>
    <t xml:space="preserve">6. Convergence detection</t>
  </si>
  <si>
    <t xml:space="preserve">After each sweep, find the largest change of any interior cell: max |T_new − T_old|. Stop when this value is below the tolerance ε. This is the maximum norm of the difference between two consecutive grids. It measures how fast the grid is still moving. The true error to the final answer can be somewhat larger than ε, especially on big grids where convergence is slow.</t>
  </si>
  <si>
    <t xml:space="preserve">7. Cost and speed</t>
  </si>
  <si>
    <t xml:space="preserve">One sweep visits (N − 2)² interior cells, so it costs O(N²). The number of sweeps needed grows with N. For Jacobi on an n × n interior, the error shrinks by about a factor ρ = cos(π ÷ (n + 1)) per sweep, so reaching a given tolerance takes roughly ln(ε ÷ first change) ÷ ln(ρ) sweeps. The table below applies this to your inputs.</t>
  </si>
  <si>
    <t xml:space="preserve">Estimate of sweeps needed (rough guide, uses the inputs on the Inputs sheet)</t>
  </si>
  <si>
    <t xml:space="preserve">Interior cells per side, n = N − 2</t>
  </si>
  <si>
    <t xml:space="preserve">Error shrink factor per sweep, ρ = cos(π ÷ (n + 1))</t>
  </si>
  <si>
    <t xml:space="preserve">Largest change in sweep 1</t>
  </si>
  <si>
    <t xml:space="preserve">Estimated sweeps to converge</t>
  </si>
  <si>
    <t xml:space="preserve">The web page converged in 24 sweeps for the default inputs. The estimate lands close to that. It is a guide, not an exact count.</t>
  </si>
</sst>
</file>

<file path=xl/styles.xml><?xml version="1.0" encoding="utf-8"?>
<styleSheet xmlns="http://schemas.openxmlformats.org/spreadsheetml/2006/main">
  <numFmts count="6">
    <numFmt numFmtId="164" formatCode="General"/>
    <numFmt numFmtId="165" formatCode="0.00"/>
    <numFmt numFmtId="166" formatCode="0.00##"/>
    <numFmt numFmtId="167" formatCode="0.0##"/>
    <numFmt numFmtId="168" formatCode="0"/>
    <numFmt numFmtId="169" formatCode="0.000"/>
  </numFmts>
  <fonts count="15">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0"/>
      <color rgb="FF5A6477"/>
      <name val="Arial"/>
      <family val="0"/>
      <charset val="1"/>
    </font>
    <font>
      <b val="true"/>
      <sz val="11"/>
      <name val="Arial"/>
      <family val="0"/>
      <charset val="1"/>
    </font>
    <font>
      <b val="true"/>
      <sz val="10"/>
      <color rgb="FF5A6477"/>
      <name val="Arial"/>
      <family val="0"/>
      <charset val="1"/>
    </font>
    <font>
      <sz val="10"/>
      <name val="Arial"/>
      <family val="0"/>
      <charset val="1"/>
    </font>
    <font>
      <i val="true"/>
      <sz val="9"/>
      <color rgb="FF5A6477"/>
      <name val="Arial"/>
      <family val="0"/>
      <charset val="1"/>
    </font>
    <font>
      <b val="true"/>
      <sz val="10"/>
      <name val="Arial"/>
      <family val="0"/>
      <charset val="1"/>
    </font>
    <font>
      <i val="true"/>
      <sz val="10"/>
      <name val="Arial"/>
      <family val="0"/>
      <charset val="1"/>
    </font>
    <font>
      <b val="true"/>
      <sz val="14"/>
      <name val="Arial"/>
      <family val="0"/>
      <charset val="1"/>
    </font>
    <font>
      <sz val="10"/>
      <color rgb="FF0000FF"/>
      <name val="Arial"/>
      <family val="0"/>
      <charset val="1"/>
    </font>
    <font>
      <sz val="10"/>
      <color rgb="FF5A6477"/>
      <name val="Arial"/>
      <family val="0"/>
      <charset val="1"/>
    </font>
  </fonts>
  <fills count="4">
    <fill>
      <patternFill patternType="none"/>
    </fill>
    <fill>
      <patternFill patternType="gray125"/>
    </fill>
    <fill>
      <patternFill patternType="solid">
        <fgColor rgb="FFE4E8EF"/>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C5D0"/>
      </left>
      <right style="thin">
        <color rgb="FFBFC5D0"/>
      </right>
      <top style="thin">
        <color rgb="FFBFC5D0"/>
      </top>
      <bottom style="thin">
        <color rgb="FFBFC5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3" fillId="3"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5D0"/>
      <rgbColor rgb="FF808080"/>
      <rgbColor rgb="FF9999FF"/>
      <rgbColor rgb="FF993366"/>
      <rgbColor rgb="FFFFFFCC"/>
      <rgbColor rgb="FFE4E8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477"/>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7" min="2" style="0" width="13"/>
    <col collapsed="false" customWidth="true" hidden="false" outlineLevel="0" max="8" min="8" style="0" width="15"/>
    <col collapsed="false" customWidth="true" hidden="false" outlineLevel="0" max="9" min="9" style="0" width="17"/>
    <col collapsed="false" customWidth="true" hidden="false" outlineLevel="0" max="15" min="10" style="0" width="13"/>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c r="J4" s="3" t="s">
        <v>3</v>
      </c>
    </row>
    <row r="5" customFormat="false" ht="15" hidden="false" customHeight="false" outlineLevel="0" collapsed="false">
      <c r="B5" s="4" t="s">
        <v>4</v>
      </c>
      <c r="C5" s="4" t="s">
        <v>5</v>
      </c>
      <c r="D5" s="4" t="s">
        <v>6</v>
      </c>
      <c r="E5" s="4" t="s">
        <v>7</v>
      </c>
      <c r="F5" s="4" t="s">
        <v>8</v>
      </c>
      <c r="G5" s="4" t="s">
        <v>9</v>
      </c>
      <c r="J5" s="4" t="s">
        <v>4</v>
      </c>
      <c r="K5" s="4" t="s">
        <v>5</v>
      </c>
      <c r="L5" s="4" t="s">
        <v>6</v>
      </c>
      <c r="M5" s="4" t="s">
        <v>7</v>
      </c>
      <c r="N5" s="4" t="s">
        <v>8</v>
      </c>
      <c r="O5" s="4" t="s">
        <v>9</v>
      </c>
    </row>
    <row r="6" customFormat="false" ht="15" hidden="false" customHeight="false" outlineLevel="0" collapsed="false">
      <c r="A6" s="4" t="s">
        <v>10</v>
      </c>
      <c r="B6" s="5" t="n">
        <f aca="false">AVERAGE(Inputs!$C$3,Inputs!$C$5)</f>
        <v>50</v>
      </c>
      <c r="C6" s="5" t="n">
        <f aca="false">Inputs!$C$3</f>
        <v>100</v>
      </c>
      <c r="D6" s="5" t="n">
        <f aca="false">Inputs!$C$3</f>
        <v>100</v>
      </c>
      <c r="E6" s="5" t="n">
        <f aca="false">Inputs!$C$3</f>
        <v>100</v>
      </c>
      <c r="F6" s="5" t="n">
        <f aca="false">Inputs!$C$3</f>
        <v>100</v>
      </c>
      <c r="G6" s="5" t="n">
        <f aca="false">AVERAGE(Inputs!$C$3,Inputs!$C$6)</f>
        <v>50</v>
      </c>
      <c r="I6" s="4" t="s">
        <v>10</v>
      </c>
      <c r="J6" s="5" t="n">
        <f aca="false">B6</f>
        <v>50</v>
      </c>
      <c r="K6" s="5" t="n">
        <f aca="false">C6</f>
        <v>100</v>
      </c>
      <c r="L6" s="5" t="n">
        <f aca="false">D6</f>
        <v>100</v>
      </c>
      <c r="M6" s="5" t="n">
        <f aca="false">E6</f>
        <v>100</v>
      </c>
      <c r="N6" s="5" t="n">
        <f aca="false">F6</f>
        <v>100</v>
      </c>
      <c r="O6" s="5" t="n">
        <f aca="false">G6</f>
        <v>50</v>
      </c>
    </row>
    <row r="7" customFormat="false" ht="15" hidden="false" customHeight="false" outlineLevel="0" collapsed="false">
      <c r="A7" s="4" t="s">
        <v>11</v>
      </c>
      <c r="B7" s="5" t="n">
        <f aca="false">Inputs!$C$5</f>
        <v>0</v>
      </c>
      <c r="C7" s="5" t="n">
        <f aca="false">Inputs!$C$7</f>
        <v>0</v>
      </c>
      <c r="D7" s="5" t="n">
        <f aca="false">Inputs!$C$7</f>
        <v>0</v>
      </c>
      <c r="E7" s="5" t="n">
        <f aca="false">Inputs!$C$7</f>
        <v>0</v>
      </c>
      <c r="F7" s="5" t="n">
        <f aca="false">Inputs!$C$7</f>
        <v>0</v>
      </c>
      <c r="G7" s="5" t="n">
        <f aca="false">Inputs!$C$6</f>
        <v>0</v>
      </c>
      <c r="I7" s="4" t="s">
        <v>11</v>
      </c>
      <c r="J7" s="5" t="n">
        <f aca="false">B7</f>
        <v>0</v>
      </c>
      <c r="K7" s="5" t="n">
        <f aca="false">H25</f>
        <v>25</v>
      </c>
      <c r="L7" s="5" t="n">
        <f aca="false">H26</f>
        <v>25</v>
      </c>
      <c r="M7" s="5" t="n">
        <f aca="false">H27</f>
        <v>25</v>
      </c>
      <c r="N7" s="5" t="n">
        <f aca="false">H28</f>
        <v>25</v>
      </c>
      <c r="O7" s="5" t="n">
        <f aca="false">G7</f>
        <v>0</v>
      </c>
    </row>
    <row r="8" customFormat="false" ht="15" hidden="false" customHeight="false" outlineLevel="0" collapsed="false">
      <c r="A8" s="4" t="s">
        <v>12</v>
      </c>
      <c r="B8" s="5" t="n">
        <f aca="false">Inputs!$C$5</f>
        <v>0</v>
      </c>
      <c r="C8" s="5" t="n">
        <f aca="false">Inputs!$C$7</f>
        <v>0</v>
      </c>
      <c r="D8" s="5" t="n">
        <f aca="false">Inputs!$C$7</f>
        <v>0</v>
      </c>
      <c r="E8" s="5" t="n">
        <f aca="false">Inputs!$C$7</f>
        <v>0</v>
      </c>
      <c r="F8" s="5" t="n">
        <f aca="false">Inputs!$C$7</f>
        <v>0</v>
      </c>
      <c r="G8" s="5" t="n">
        <f aca="false">Inputs!$C$6</f>
        <v>0</v>
      </c>
      <c r="I8" s="4" t="s">
        <v>12</v>
      </c>
      <c r="J8" s="5" t="n">
        <f aca="false">B8</f>
        <v>0</v>
      </c>
      <c r="K8" s="5" t="n">
        <f aca="false">H29</f>
        <v>0</v>
      </c>
      <c r="L8" s="5" t="n">
        <f aca="false">H30</f>
        <v>0</v>
      </c>
      <c r="M8" s="5" t="n">
        <f aca="false">H31</f>
        <v>0</v>
      </c>
      <c r="N8" s="5" t="n">
        <f aca="false">H32</f>
        <v>0</v>
      </c>
      <c r="O8" s="5" t="n">
        <f aca="false">G8</f>
        <v>0</v>
      </c>
    </row>
    <row r="9" customFormat="false" ht="15" hidden="false" customHeight="false" outlineLevel="0" collapsed="false">
      <c r="A9" s="4" t="s">
        <v>13</v>
      </c>
      <c r="B9" s="5" t="n">
        <f aca="false">Inputs!$C$5</f>
        <v>0</v>
      </c>
      <c r="C9" s="5" t="n">
        <f aca="false">Inputs!$C$7</f>
        <v>0</v>
      </c>
      <c r="D9" s="5" t="n">
        <f aca="false">Inputs!$C$7</f>
        <v>0</v>
      </c>
      <c r="E9" s="5" t="n">
        <f aca="false">Inputs!$C$7</f>
        <v>0</v>
      </c>
      <c r="F9" s="5" t="n">
        <f aca="false">Inputs!$C$7</f>
        <v>0</v>
      </c>
      <c r="G9" s="5" t="n">
        <f aca="false">Inputs!$C$6</f>
        <v>0</v>
      </c>
      <c r="I9" s="4" t="s">
        <v>13</v>
      </c>
      <c r="J9" s="5" t="n">
        <f aca="false">B9</f>
        <v>0</v>
      </c>
      <c r="K9" s="5" t="n">
        <f aca="false">H33</f>
        <v>0</v>
      </c>
      <c r="L9" s="5" t="n">
        <f aca="false">H34</f>
        <v>0</v>
      </c>
      <c r="M9" s="5" t="n">
        <f aca="false">H35</f>
        <v>0</v>
      </c>
      <c r="N9" s="5" t="n">
        <f aca="false">H36</f>
        <v>0</v>
      </c>
      <c r="O9" s="5" t="n">
        <f aca="false">G9</f>
        <v>0</v>
      </c>
    </row>
    <row r="10" customFormat="false" ht="15" hidden="false" customHeight="false" outlineLevel="0" collapsed="false">
      <c r="A10" s="4" t="s">
        <v>14</v>
      </c>
      <c r="B10" s="5" t="n">
        <f aca="false">Inputs!$C$5</f>
        <v>0</v>
      </c>
      <c r="C10" s="5" t="n">
        <f aca="false">Inputs!$C$7</f>
        <v>0</v>
      </c>
      <c r="D10" s="5" t="n">
        <f aca="false">Inputs!$C$7</f>
        <v>0</v>
      </c>
      <c r="E10" s="5" t="n">
        <f aca="false">Inputs!$C$7</f>
        <v>0</v>
      </c>
      <c r="F10" s="5" t="n">
        <f aca="false">Inputs!$C$7</f>
        <v>0</v>
      </c>
      <c r="G10" s="5" t="n">
        <f aca="false">Inputs!$C$6</f>
        <v>0</v>
      </c>
      <c r="I10" s="4" t="s">
        <v>14</v>
      </c>
      <c r="J10" s="5" t="n">
        <f aca="false">B10</f>
        <v>0</v>
      </c>
      <c r="K10" s="5" t="n">
        <f aca="false">H37</f>
        <v>25</v>
      </c>
      <c r="L10" s="5" t="n">
        <f aca="false">H38</f>
        <v>25</v>
      </c>
      <c r="M10" s="5" t="n">
        <f aca="false">H39</f>
        <v>25</v>
      </c>
      <c r="N10" s="5" t="n">
        <f aca="false">H40</f>
        <v>25</v>
      </c>
      <c r="O10" s="5" t="n">
        <f aca="false">G10</f>
        <v>0</v>
      </c>
    </row>
    <row r="11" customFormat="false" ht="15" hidden="false" customHeight="false" outlineLevel="0" collapsed="false">
      <c r="A11" s="4" t="s">
        <v>15</v>
      </c>
      <c r="B11" s="5" t="n">
        <f aca="false">AVERAGE(Inputs!$C$4,Inputs!$C$5)</f>
        <v>50</v>
      </c>
      <c r="C11" s="5" t="n">
        <f aca="false">Inputs!$C$4</f>
        <v>100</v>
      </c>
      <c r="D11" s="5" t="n">
        <f aca="false">Inputs!$C$4</f>
        <v>100</v>
      </c>
      <c r="E11" s="5" t="n">
        <f aca="false">Inputs!$C$4</f>
        <v>100</v>
      </c>
      <c r="F11" s="5" t="n">
        <f aca="false">Inputs!$C$4</f>
        <v>100</v>
      </c>
      <c r="G11" s="5" t="n">
        <f aca="false">AVERAGE(Inputs!$C$4,Inputs!$C$6)</f>
        <v>50</v>
      </c>
      <c r="I11" s="4" t="s">
        <v>15</v>
      </c>
      <c r="J11" s="5" t="n">
        <f aca="false">B11</f>
        <v>50</v>
      </c>
      <c r="K11" s="5" t="n">
        <f aca="false">C11</f>
        <v>100</v>
      </c>
      <c r="L11" s="5" t="n">
        <f aca="false">D11</f>
        <v>100</v>
      </c>
      <c r="M11" s="5" t="n">
        <f aca="false">E11</f>
        <v>100</v>
      </c>
      <c r="N11" s="5" t="n">
        <f aca="false">F11</f>
        <v>100</v>
      </c>
      <c r="O11" s="5" t="n">
        <f aca="false">G11</f>
        <v>50</v>
      </c>
    </row>
    <row r="12" customFormat="false" ht="15" hidden="false" customHeight="false" outlineLevel="0" collapsed="false">
      <c r="B12" s="6" t="s">
        <v>16</v>
      </c>
    </row>
    <row r="13" customFormat="false" ht="15" hidden="false" customHeight="false" outlineLevel="0" collapsed="false">
      <c r="B13" s="3" t="s">
        <v>17</v>
      </c>
    </row>
    <row r="14" customFormat="false" ht="15" hidden="false" customHeight="false" outlineLevel="0" collapsed="false">
      <c r="B14" s="4" t="s">
        <v>4</v>
      </c>
      <c r="C14" s="4" t="s">
        <v>5</v>
      </c>
      <c r="D14" s="4" t="s">
        <v>6</v>
      </c>
      <c r="E14" s="4" t="s">
        <v>7</v>
      </c>
      <c r="F14" s="4" t="s">
        <v>8</v>
      </c>
      <c r="G14" s="4" t="s">
        <v>9</v>
      </c>
      <c r="I14" s="3" t="s">
        <v>18</v>
      </c>
    </row>
    <row r="15" customFormat="false" ht="15" hidden="false" customHeight="false" outlineLevel="0" collapsed="false">
      <c r="A15" s="4" t="s">
        <v>10</v>
      </c>
      <c r="B15" s="5" t="n">
        <f aca="false">ABS(J6-B6)</f>
        <v>0</v>
      </c>
      <c r="C15" s="5" t="n">
        <f aca="false">ABS(K6-C6)</f>
        <v>0</v>
      </c>
      <c r="D15" s="5" t="n">
        <f aca="false">ABS(L6-D6)</f>
        <v>0</v>
      </c>
      <c r="E15" s="5" t="n">
        <f aca="false">ABS(M6-E6)</f>
        <v>0</v>
      </c>
      <c r="F15" s="5" t="n">
        <f aca="false">ABS(N6-F6)</f>
        <v>0</v>
      </c>
      <c r="G15" s="5" t="n">
        <f aca="false">ABS(O6-G6)</f>
        <v>0</v>
      </c>
      <c r="I15" s="7" t="s">
        <v>19</v>
      </c>
      <c r="J15" s="8" t="n">
        <f aca="false">MAX(C16:F19)</f>
        <v>25</v>
      </c>
    </row>
    <row r="16" customFormat="false" ht="15" hidden="false" customHeight="false" outlineLevel="0" collapsed="false">
      <c r="A16" s="4" t="s">
        <v>11</v>
      </c>
      <c r="B16" s="5" t="n">
        <f aca="false">ABS(J7-B7)</f>
        <v>0</v>
      </c>
      <c r="C16" s="5" t="n">
        <f aca="false">ABS(K7-C7)</f>
        <v>25</v>
      </c>
      <c r="D16" s="5" t="n">
        <f aca="false">ABS(L7-D7)</f>
        <v>25</v>
      </c>
      <c r="E16" s="5" t="n">
        <f aca="false">ABS(M7-E7)</f>
        <v>25</v>
      </c>
      <c r="F16" s="5" t="n">
        <f aca="false">ABS(N7-F7)</f>
        <v>25</v>
      </c>
      <c r="G16" s="5" t="n">
        <f aca="false">ABS(O7-G7)</f>
        <v>0</v>
      </c>
      <c r="I16" s="7" t="s">
        <v>20</v>
      </c>
      <c r="J16" s="8" t="n">
        <f aca="false">Inputs!$C$8</f>
        <v>0.1</v>
      </c>
    </row>
    <row r="17" customFormat="false" ht="15" hidden="false" customHeight="false" outlineLevel="0" collapsed="false">
      <c r="A17" s="4" t="s">
        <v>12</v>
      </c>
      <c r="B17" s="5" t="n">
        <f aca="false">ABS(J8-B8)</f>
        <v>0</v>
      </c>
      <c r="C17" s="5" t="n">
        <f aca="false">ABS(K8-C8)</f>
        <v>0</v>
      </c>
      <c r="D17" s="5" t="n">
        <f aca="false">ABS(L8-D8)</f>
        <v>0</v>
      </c>
      <c r="E17" s="5" t="n">
        <f aca="false">ABS(M8-E8)</f>
        <v>0</v>
      </c>
      <c r="F17" s="5" t="n">
        <f aca="false">ABS(N8-F8)</f>
        <v>0</v>
      </c>
      <c r="G17" s="5" t="n">
        <f aca="false">ABS(O8-G8)</f>
        <v>0</v>
      </c>
      <c r="I17" s="7" t="s">
        <v>21</v>
      </c>
      <c r="J17" s="8" t="str">
        <f aca="false">IF(J15&lt;J16,"YES: stop","NO: do another sweep")</f>
        <v>NO: do another sweep</v>
      </c>
      <c r="K17" s="8"/>
      <c r="L17" s="8"/>
    </row>
    <row r="18" customFormat="false" ht="15" hidden="false" customHeight="false" outlineLevel="0" collapsed="false">
      <c r="A18" s="4" t="s">
        <v>13</v>
      </c>
      <c r="B18" s="5" t="n">
        <f aca="false">ABS(J9-B9)</f>
        <v>0</v>
      </c>
      <c r="C18" s="5" t="n">
        <f aca="false">ABS(K9-C9)</f>
        <v>0</v>
      </c>
      <c r="D18" s="5" t="n">
        <f aca="false">ABS(L9-D9)</f>
        <v>0</v>
      </c>
      <c r="E18" s="5" t="n">
        <f aca="false">ABS(M9-E9)</f>
        <v>0</v>
      </c>
      <c r="F18" s="5" t="n">
        <f aca="false">ABS(N9-F9)</f>
        <v>0</v>
      </c>
      <c r="G18" s="5" t="n">
        <f aca="false">ABS(O9-G9)</f>
        <v>0</v>
      </c>
    </row>
    <row r="19" customFormat="false" ht="15" hidden="false" customHeight="false" outlineLevel="0" collapsed="false">
      <c r="A19" s="4" t="s">
        <v>14</v>
      </c>
      <c r="B19" s="5" t="n">
        <f aca="false">ABS(J10-B10)</f>
        <v>0</v>
      </c>
      <c r="C19" s="5" t="n">
        <f aca="false">ABS(K10-C10)</f>
        <v>25</v>
      </c>
      <c r="D19" s="5" t="n">
        <f aca="false">ABS(L10-D10)</f>
        <v>25</v>
      </c>
      <c r="E19" s="5" t="n">
        <f aca="false">ABS(M10-E10)</f>
        <v>25</v>
      </c>
      <c r="F19" s="5" t="n">
        <f aca="false">ABS(N10-F10)</f>
        <v>25</v>
      </c>
      <c r="G19" s="5" t="n">
        <f aca="false">ABS(O10-G10)</f>
        <v>0</v>
      </c>
      <c r="I19" s="6" t="s">
        <v>22</v>
      </c>
    </row>
    <row r="20" customFormat="false" ht="15" hidden="false" customHeight="false" outlineLevel="0" collapsed="false">
      <c r="A20" s="4" t="s">
        <v>15</v>
      </c>
      <c r="B20" s="5" t="n">
        <f aca="false">ABS(J11-B11)</f>
        <v>0</v>
      </c>
      <c r="C20" s="5" t="n">
        <f aca="false">ABS(K11-C11)</f>
        <v>0</v>
      </c>
      <c r="D20" s="5" t="n">
        <f aca="false">ABS(L11-D11)</f>
        <v>0</v>
      </c>
      <c r="E20" s="5" t="n">
        <f aca="false">ABS(M11-E11)</f>
        <v>0</v>
      </c>
      <c r="F20" s="5" t="n">
        <f aca="false">ABS(N11-F11)</f>
        <v>0</v>
      </c>
      <c r="G20" s="5" t="n">
        <f aca="false">ABS(O11-G11)</f>
        <v>0</v>
      </c>
    </row>
    <row r="22" customFormat="false" ht="15" hidden="false" customHeight="false" outlineLevel="0" collapsed="false">
      <c r="A22" s="3" t="s">
        <v>23</v>
      </c>
    </row>
    <row r="23" customFormat="false" ht="15" hidden="false" customHeight="false" outlineLevel="0" collapsed="false">
      <c r="A23" s="2" t="s">
        <v>24</v>
      </c>
    </row>
    <row r="24" customFormat="false" ht="42" hidden="false" customHeight="true" outlineLevel="0" collapsed="false">
      <c r="B24" s="9" t="s">
        <v>25</v>
      </c>
      <c r="C24" s="9" t="s">
        <v>26</v>
      </c>
      <c r="D24" s="9" t="s">
        <v>27</v>
      </c>
      <c r="E24" s="9" t="s">
        <v>28</v>
      </c>
      <c r="F24" s="9" t="s">
        <v>29</v>
      </c>
      <c r="G24" s="9" t="s">
        <v>30</v>
      </c>
      <c r="H24" s="9" t="s">
        <v>31</v>
      </c>
      <c r="I24" s="9" t="s">
        <v>32</v>
      </c>
      <c r="J24" s="9" t="s">
        <v>33</v>
      </c>
    </row>
    <row r="25" customFormat="false" ht="15" hidden="false" customHeight="false" outlineLevel="0" collapsed="false">
      <c r="B25" s="10" t="s">
        <v>34</v>
      </c>
      <c r="C25" s="5" t="n">
        <f aca="false">C6</f>
        <v>100</v>
      </c>
      <c r="D25" s="5" t="n">
        <f aca="false">C8</f>
        <v>0</v>
      </c>
      <c r="E25" s="5" t="n">
        <f aca="false">B7</f>
        <v>0</v>
      </c>
      <c r="F25" s="5" t="n">
        <f aca="false">D7</f>
        <v>0</v>
      </c>
      <c r="G25" s="5" t="n">
        <f aca="false">SUM(C25:F25)</f>
        <v>100</v>
      </c>
      <c r="H25" s="11" t="n">
        <f aca="false">G25/4</f>
        <v>25</v>
      </c>
      <c r="I25" s="5" t="n">
        <f aca="false">C7</f>
        <v>0</v>
      </c>
      <c r="J25" s="5" t="n">
        <f aca="false">ABS(H25-I25)</f>
        <v>25</v>
      </c>
    </row>
    <row r="26" customFormat="false" ht="15" hidden="false" customHeight="false" outlineLevel="0" collapsed="false">
      <c r="B26" s="10" t="s">
        <v>35</v>
      </c>
      <c r="C26" s="5" t="n">
        <f aca="false">D6</f>
        <v>100</v>
      </c>
      <c r="D26" s="5" t="n">
        <f aca="false">D8</f>
        <v>0</v>
      </c>
      <c r="E26" s="5" t="n">
        <f aca="false">C7</f>
        <v>0</v>
      </c>
      <c r="F26" s="5" t="n">
        <f aca="false">E7</f>
        <v>0</v>
      </c>
      <c r="G26" s="5" t="n">
        <f aca="false">SUM(C26:F26)</f>
        <v>100</v>
      </c>
      <c r="H26" s="11" t="n">
        <f aca="false">G26/4</f>
        <v>25</v>
      </c>
      <c r="I26" s="5" t="n">
        <f aca="false">D7</f>
        <v>0</v>
      </c>
      <c r="J26" s="5" t="n">
        <f aca="false">ABS(H26-I26)</f>
        <v>25</v>
      </c>
    </row>
    <row r="27" customFormat="false" ht="15" hidden="false" customHeight="false" outlineLevel="0" collapsed="false">
      <c r="B27" s="10" t="s">
        <v>36</v>
      </c>
      <c r="C27" s="5" t="n">
        <f aca="false">E6</f>
        <v>100</v>
      </c>
      <c r="D27" s="5" t="n">
        <f aca="false">E8</f>
        <v>0</v>
      </c>
      <c r="E27" s="5" t="n">
        <f aca="false">D7</f>
        <v>0</v>
      </c>
      <c r="F27" s="5" t="n">
        <f aca="false">F7</f>
        <v>0</v>
      </c>
      <c r="G27" s="5" t="n">
        <f aca="false">SUM(C27:F27)</f>
        <v>100</v>
      </c>
      <c r="H27" s="11" t="n">
        <f aca="false">G27/4</f>
        <v>25</v>
      </c>
      <c r="I27" s="5" t="n">
        <f aca="false">E7</f>
        <v>0</v>
      </c>
      <c r="J27" s="5" t="n">
        <f aca="false">ABS(H27-I27)</f>
        <v>25</v>
      </c>
    </row>
    <row r="28" customFormat="false" ht="15" hidden="false" customHeight="false" outlineLevel="0" collapsed="false">
      <c r="B28" s="10" t="s">
        <v>37</v>
      </c>
      <c r="C28" s="5" t="n">
        <f aca="false">F6</f>
        <v>100</v>
      </c>
      <c r="D28" s="5" t="n">
        <f aca="false">F8</f>
        <v>0</v>
      </c>
      <c r="E28" s="5" t="n">
        <f aca="false">E7</f>
        <v>0</v>
      </c>
      <c r="F28" s="5" t="n">
        <f aca="false">G7</f>
        <v>0</v>
      </c>
      <c r="G28" s="5" t="n">
        <f aca="false">SUM(C28:F28)</f>
        <v>100</v>
      </c>
      <c r="H28" s="11" t="n">
        <f aca="false">G28/4</f>
        <v>25</v>
      </c>
      <c r="I28" s="5" t="n">
        <f aca="false">F7</f>
        <v>0</v>
      </c>
      <c r="J28" s="5" t="n">
        <f aca="false">ABS(H28-I28)</f>
        <v>25</v>
      </c>
    </row>
    <row r="29" customFormat="false" ht="15" hidden="false" customHeight="false" outlineLevel="0" collapsed="false">
      <c r="B29" s="10" t="s">
        <v>38</v>
      </c>
      <c r="C29" s="5" t="n">
        <f aca="false">C7</f>
        <v>0</v>
      </c>
      <c r="D29" s="5" t="n">
        <f aca="false">C9</f>
        <v>0</v>
      </c>
      <c r="E29" s="5" t="n">
        <f aca="false">B8</f>
        <v>0</v>
      </c>
      <c r="F29" s="5" t="n">
        <f aca="false">D8</f>
        <v>0</v>
      </c>
      <c r="G29" s="5" t="n">
        <f aca="false">SUM(C29:F29)</f>
        <v>0</v>
      </c>
      <c r="H29" s="11" t="n">
        <f aca="false">G29/4</f>
        <v>0</v>
      </c>
      <c r="I29" s="5" t="n">
        <f aca="false">C8</f>
        <v>0</v>
      </c>
      <c r="J29" s="5" t="n">
        <f aca="false">ABS(H29-I29)</f>
        <v>0</v>
      </c>
    </row>
    <row r="30" customFormat="false" ht="15" hidden="false" customHeight="false" outlineLevel="0" collapsed="false">
      <c r="B30" s="10" t="s">
        <v>39</v>
      </c>
      <c r="C30" s="5" t="n">
        <f aca="false">D7</f>
        <v>0</v>
      </c>
      <c r="D30" s="5" t="n">
        <f aca="false">D9</f>
        <v>0</v>
      </c>
      <c r="E30" s="5" t="n">
        <f aca="false">C8</f>
        <v>0</v>
      </c>
      <c r="F30" s="5" t="n">
        <f aca="false">E8</f>
        <v>0</v>
      </c>
      <c r="G30" s="5" t="n">
        <f aca="false">SUM(C30:F30)</f>
        <v>0</v>
      </c>
      <c r="H30" s="11" t="n">
        <f aca="false">G30/4</f>
        <v>0</v>
      </c>
      <c r="I30" s="5" t="n">
        <f aca="false">D8</f>
        <v>0</v>
      </c>
      <c r="J30" s="5" t="n">
        <f aca="false">ABS(H30-I30)</f>
        <v>0</v>
      </c>
    </row>
    <row r="31" customFormat="false" ht="15" hidden="false" customHeight="false" outlineLevel="0" collapsed="false">
      <c r="B31" s="10" t="s">
        <v>40</v>
      </c>
      <c r="C31" s="5" t="n">
        <f aca="false">E7</f>
        <v>0</v>
      </c>
      <c r="D31" s="5" t="n">
        <f aca="false">E9</f>
        <v>0</v>
      </c>
      <c r="E31" s="5" t="n">
        <f aca="false">D8</f>
        <v>0</v>
      </c>
      <c r="F31" s="5" t="n">
        <f aca="false">F8</f>
        <v>0</v>
      </c>
      <c r="G31" s="5" t="n">
        <f aca="false">SUM(C31:F31)</f>
        <v>0</v>
      </c>
      <c r="H31" s="11" t="n">
        <f aca="false">G31/4</f>
        <v>0</v>
      </c>
      <c r="I31" s="5" t="n">
        <f aca="false">E8</f>
        <v>0</v>
      </c>
      <c r="J31" s="5" t="n">
        <f aca="false">ABS(H31-I31)</f>
        <v>0</v>
      </c>
    </row>
    <row r="32" customFormat="false" ht="15" hidden="false" customHeight="false" outlineLevel="0" collapsed="false">
      <c r="B32" s="10" t="s">
        <v>41</v>
      </c>
      <c r="C32" s="5" t="n">
        <f aca="false">F7</f>
        <v>0</v>
      </c>
      <c r="D32" s="5" t="n">
        <f aca="false">F9</f>
        <v>0</v>
      </c>
      <c r="E32" s="5" t="n">
        <f aca="false">E8</f>
        <v>0</v>
      </c>
      <c r="F32" s="5" t="n">
        <f aca="false">G8</f>
        <v>0</v>
      </c>
      <c r="G32" s="5" t="n">
        <f aca="false">SUM(C32:F32)</f>
        <v>0</v>
      </c>
      <c r="H32" s="11" t="n">
        <f aca="false">G32/4</f>
        <v>0</v>
      </c>
      <c r="I32" s="5" t="n">
        <f aca="false">F8</f>
        <v>0</v>
      </c>
      <c r="J32" s="5" t="n">
        <f aca="false">ABS(H32-I32)</f>
        <v>0</v>
      </c>
    </row>
    <row r="33" customFormat="false" ht="15" hidden="false" customHeight="false" outlineLevel="0" collapsed="false">
      <c r="B33" s="10" t="s">
        <v>42</v>
      </c>
      <c r="C33" s="5" t="n">
        <f aca="false">C8</f>
        <v>0</v>
      </c>
      <c r="D33" s="5" t="n">
        <f aca="false">C10</f>
        <v>0</v>
      </c>
      <c r="E33" s="5" t="n">
        <f aca="false">B9</f>
        <v>0</v>
      </c>
      <c r="F33" s="5" t="n">
        <f aca="false">D9</f>
        <v>0</v>
      </c>
      <c r="G33" s="5" t="n">
        <f aca="false">SUM(C33:F33)</f>
        <v>0</v>
      </c>
      <c r="H33" s="11" t="n">
        <f aca="false">G33/4</f>
        <v>0</v>
      </c>
      <c r="I33" s="5" t="n">
        <f aca="false">C9</f>
        <v>0</v>
      </c>
      <c r="J33" s="5" t="n">
        <f aca="false">ABS(H33-I33)</f>
        <v>0</v>
      </c>
    </row>
    <row r="34" customFormat="false" ht="15" hidden="false" customHeight="false" outlineLevel="0" collapsed="false">
      <c r="B34" s="10" t="s">
        <v>43</v>
      </c>
      <c r="C34" s="5" t="n">
        <f aca="false">D8</f>
        <v>0</v>
      </c>
      <c r="D34" s="5" t="n">
        <f aca="false">D10</f>
        <v>0</v>
      </c>
      <c r="E34" s="5" t="n">
        <f aca="false">C9</f>
        <v>0</v>
      </c>
      <c r="F34" s="5" t="n">
        <f aca="false">E9</f>
        <v>0</v>
      </c>
      <c r="G34" s="5" t="n">
        <f aca="false">SUM(C34:F34)</f>
        <v>0</v>
      </c>
      <c r="H34" s="11" t="n">
        <f aca="false">G34/4</f>
        <v>0</v>
      </c>
      <c r="I34" s="5" t="n">
        <f aca="false">D9</f>
        <v>0</v>
      </c>
      <c r="J34" s="5" t="n">
        <f aca="false">ABS(H34-I34)</f>
        <v>0</v>
      </c>
    </row>
    <row r="35" customFormat="false" ht="15" hidden="false" customHeight="false" outlineLevel="0" collapsed="false">
      <c r="B35" s="10" t="s">
        <v>44</v>
      </c>
      <c r="C35" s="5" t="n">
        <f aca="false">E8</f>
        <v>0</v>
      </c>
      <c r="D35" s="5" t="n">
        <f aca="false">E10</f>
        <v>0</v>
      </c>
      <c r="E35" s="5" t="n">
        <f aca="false">D9</f>
        <v>0</v>
      </c>
      <c r="F35" s="5" t="n">
        <f aca="false">F9</f>
        <v>0</v>
      </c>
      <c r="G35" s="5" t="n">
        <f aca="false">SUM(C35:F35)</f>
        <v>0</v>
      </c>
      <c r="H35" s="11" t="n">
        <f aca="false">G35/4</f>
        <v>0</v>
      </c>
      <c r="I35" s="5" t="n">
        <f aca="false">E9</f>
        <v>0</v>
      </c>
      <c r="J35" s="5" t="n">
        <f aca="false">ABS(H35-I35)</f>
        <v>0</v>
      </c>
    </row>
    <row r="36" customFormat="false" ht="15" hidden="false" customHeight="false" outlineLevel="0" collapsed="false">
      <c r="B36" s="10" t="s">
        <v>45</v>
      </c>
      <c r="C36" s="5" t="n">
        <f aca="false">F8</f>
        <v>0</v>
      </c>
      <c r="D36" s="5" t="n">
        <f aca="false">F10</f>
        <v>0</v>
      </c>
      <c r="E36" s="5" t="n">
        <f aca="false">E9</f>
        <v>0</v>
      </c>
      <c r="F36" s="5" t="n">
        <f aca="false">G9</f>
        <v>0</v>
      </c>
      <c r="G36" s="5" t="n">
        <f aca="false">SUM(C36:F36)</f>
        <v>0</v>
      </c>
      <c r="H36" s="11" t="n">
        <f aca="false">G36/4</f>
        <v>0</v>
      </c>
      <c r="I36" s="5" t="n">
        <f aca="false">F9</f>
        <v>0</v>
      </c>
      <c r="J36" s="5" t="n">
        <f aca="false">ABS(H36-I36)</f>
        <v>0</v>
      </c>
    </row>
    <row r="37" customFormat="false" ht="15" hidden="false" customHeight="false" outlineLevel="0" collapsed="false">
      <c r="B37" s="10" t="s">
        <v>46</v>
      </c>
      <c r="C37" s="5" t="n">
        <f aca="false">C9</f>
        <v>0</v>
      </c>
      <c r="D37" s="5" t="n">
        <f aca="false">C11</f>
        <v>100</v>
      </c>
      <c r="E37" s="5" t="n">
        <f aca="false">B10</f>
        <v>0</v>
      </c>
      <c r="F37" s="5" t="n">
        <f aca="false">D10</f>
        <v>0</v>
      </c>
      <c r="G37" s="5" t="n">
        <f aca="false">SUM(C37:F37)</f>
        <v>100</v>
      </c>
      <c r="H37" s="11" t="n">
        <f aca="false">G37/4</f>
        <v>25</v>
      </c>
      <c r="I37" s="5" t="n">
        <f aca="false">C10</f>
        <v>0</v>
      </c>
      <c r="J37" s="5" t="n">
        <f aca="false">ABS(H37-I37)</f>
        <v>25</v>
      </c>
    </row>
    <row r="38" customFormat="false" ht="15" hidden="false" customHeight="false" outlineLevel="0" collapsed="false">
      <c r="B38" s="10" t="s">
        <v>47</v>
      </c>
      <c r="C38" s="5" t="n">
        <f aca="false">D9</f>
        <v>0</v>
      </c>
      <c r="D38" s="5" t="n">
        <f aca="false">D11</f>
        <v>100</v>
      </c>
      <c r="E38" s="5" t="n">
        <f aca="false">C10</f>
        <v>0</v>
      </c>
      <c r="F38" s="5" t="n">
        <f aca="false">E10</f>
        <v>0</v>
      </c>
      <c r="G38" s="5" t="n">
        <f aca="false">SUM(C38:F38)</f>
        <v>100</v>
      </c>
      <c r="H38" s="11" t="n">
        <f aca="false">G38/4</f>
        <v>25</v>
      </c>
      <c r="I38" s="5" t="n">
        <f aca="false">D10</f>
        <v>0</v>
      </c>
      <c r="J38" s="5" t="n">
        <f aca="false">ABS(H38-I38)</f>
        <v>25</v>
      </c>
    </row>
    <row r="39" customFormat="false" ht="15" hidden="false" customHeight="false" outlineLevel="0" collapsed="false">
      <c r="B39" s="10" t="s">
        <v>48</v>
      </c>
      <c r="C39" s="5" t="n">
        <f aca="false">E9</f>
        <v>0</v>
      </c>
      <c r="D39" s="5" t="n">
        <f aca="false">E11</f>
        <v>100</v>
      </c>
      <c r="E39" s="5" t="n">
        <f aca="false">D10</f>
        <v>0</v>
      </c>
      <c r="F39" s="5" t="n">
        <f aca="false">F10</f>
        <v>0</v>
      </c>
      <c r="G39" s="5" t="n">
        <f aca="false">SUM(C39:F39)</f>
        <v>100</v>
      </c>
      <c r="H39" s="11" t="n">
        <f aca="false">G39/4</f>
        <v>25</v>
      </c>
      <c r="I39" s="5" t="n">
        <f aca="false">E10</f>
        <v>0</v>
      </c>
      <c r="J39" s="5" t="n">
        <f aca="false">ABS(H39-I39)</f>
        <v>25</v>
      </c>
    </row>
    <row r="40" customFormat="false" ht="15" hidden="false" customHeight="false" outlineLevel="0" collapsed="false">
      <c r="B40" s="10" t="s">
        <v>49</v>
      </c>
      <c r="C40" s="5" t="n">
        <f aca="false">F9</f>
        <v>0</v>
      </c>
      <c r="D40" s="5" t="n">
        <f aca="false">F11</f>
        <v>100</v>
      </c>
      <c r="E40" s="5" t="n">
        <f aca="false">E10</f>
        <v>0</v>
      </c>
      <c r="F40" s="5" t="n">
        <f aca="false">G10</f>
        <v>0</v>
      </c>
      <c r="G40" s="5" t="n">
        <f aca="false">SUM(C40:F40)</f>
        <v>100</v>
      </c>
      <c r="H40" s="11" t="n">
        <f aca="false">G40/4</f>
        <v>25</v>
      </c>
      <c r="I40" s="5" t="n">
        <f aca="false">F10</f>
        <v>0</v>
      </c>
      <c r="J40" s="5" t="n">
        <f aca="false">ABS(H40-I40)</f>
        <v>25</v>
      </c>
    </row>
    <row r="42" customFormat="false" ht="15" hidden="false" customHeight="false" outlineLevel="0" collapsed="false">
      <c r="A42" s="12" t="s">
        <v>50</v>
      </c>
    </row>
    <row r="43" customFormat="false" ht="15" hidden="false" customHeight="false" outlineLevel="0" collapsed="false">
      <c r="A43" s="12" t="s">
        <v>51</v>
      </c>
    </row>
  </sheetData>
  <mergeCells count="1">
    <mergeCell ref="J17:L17"/>
  </mergeCells>
  <conditionalFormatting sqref="B6:G11">
    <cfRule type="colorScale" priority="2">
      <colorScale>
        <cfvo type="num" val="0"/>
        <cfvo type="num" val="50"/>
        <cfvo type="num" val="100"/>
        <color rgb="FF5AA0C8"/>
        <color rgb="FFF4EFE4"/>
        <color rgb="FFE0583F"/>
      </colorScale>
    </cfRule>
  </conditionalFormatting>
  <conditionalFormatting sqref="J6:O11">
    <cfRule type="colorScale" priority="3">
      <colorScale>
        <cfvo type="num" val="0"/>
        <cfvo type="num" val="50"/>
        <cfvo type="num" val="100"/>
        <color rgb="FF5AA0C8"/>
        <color rgb="FFF4EFE4"/>
        <color rgb="FFE0583F"/>
      </colorScale>
    </cfRule>
  </conditionalFormatting>
  <conditionalFormatting sqref="H25:H40">
    <cfRule type="colorScale" priority="4">
      <colorScale>
        <cfvo type="num" val="0"/>
        <cfvo type="num" val="50"/>
        <cfvo type="num" val="100"/>
        <color rgb="FF5AA0C8"/>
        <color rgb="FFF4EFE4"/>
        <color rgb="FFE0583F"/>
      </colorScale>
    </cfRule>
  </conditionalFormatting>
  <conditionalFormatting sqref="B15:G20">
    <cfRule type="colorScale" priority="5">
      <colorScale>
        <cfvo type="num" val="0"/>
        <cfvo type="max" val="0"/>
        <color rgb="FFFFFFFF"/>
        <color rgb="FFF0A24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7" min="2" style="0" width="13"/>
    <col collapsed="false" customWidth="true" hidden="false" outlineLevel="0" max="8" min="8" style="0" width="15"/>
    <col collapsed="false" customWidth="true" hidden="false" outlineLevel="0" max="9" min="9" style="0" width="17"/>
    <col collapsed="false" customWidth="true" hidden="false" outlineLevel="0" max="15" min="10" style="0" width="13"/>
  </cols>
  <sheetData>
    <row r="1" customFormat="false" ht="18.55" hidden="false" customHeight="false" outlineLevel="0" collapsed="false">
      <c r="A1" s="1" t="s">
        <v>52</v>
      </c>
    </row>
    <row r="2" customFormat="false" ht="15" hidden="false" customHeight="false" outlineLevel="0" collapsed="false">
      <c r="A2" s="2" t="s">
        <v>1</v>
      </c>
    </row>
    <row r="3" customFormat="false" ht="15" hidden="false" customHeight="false" outlineLevel="0" collapsed="false">
      <c r="A3" s="2" t="s">
        <v>53</v>
      </c>
    </row>
    <row r="4" customFormat="false" ht="15" hidden="false" customHeight="false" outlineLevel="0" collapsed="false">
      <c r="B4" s="3" t="s">
        <v>54</v>
      </c>
      <c r="J4" s="3" t="s">
        <v>55</v>
      </c>
    </row>
    <row r="5" customFormat="false" ht="15" hidden="false" customHeight="false" outlineLevel="0" collapsed="false">
      <c r="B5" s="4" t="s">
        <v>4</v>
      </c>
      <c r="C5" s="4" t="s">
        <v>5</v>
      </c>
      <c r="D5" s="4" t="s">
        <v>6</v>
      </c>
      <c r="E5" s="4" t="s">
        <v>7</v>
      </c>
      <c r="F5" s="4" t="s">
        <v>8</v>
      </c>
      <c r="G5" s="4" t="s">
        <v>9</v>
      </c>
      <c r="J5" s="4" t="s">
        <v>4</v>
      </c>
      <c r="K5" s="4" t="s">
        <v>5</v>
      </c>
      <c r="L5" s="4" t="s">
        <v>6</v>
      </c>
      <c r="M5" s="4" t="s">
        <v>7</v>
      </c>
      <c r="N5" s="4" t="s">
        <v>8</v>
      </c>
      <c r="O5" s="4" t="s">
        <v>9</v>
      </c>
    </row>
    <row r="6" customFormat="false" ht="15" hidden="false" customHeight="false" outlineLevel="0" collapsed="false">
      <c r="A6" s="4" t="s">
        <v>10</v>
      </c>
      <c r="B6" s="5" t="n">
        <f aca="false">'Sweep 1'!J6</f>
        <v>50</v>
      </c>
      <c r="C6" s="5" t="n">
        <f aca="false">'Sweep 1'!K6</f>
        <v>100</v>
      </c>
      <c r="D6" s="5" t="n">
        <f aca="false">'Sweep 1'!L6</f>
        <v>100</v>
      </c>
      <c r="E6" s="5" t="n">
        <f aca="false">'Sweep 1'!M6</f>
        <v>100</v>
      </c>
      <c r="F6" s="5" t="n">
        <f aca="false">'Sweep 1'!N6</f>
        <v>100</v>
      </c>
      <c r="G6" s="5" t="n">
        <f aca="false">'Sweep 1'!O6</f>
        <v>50</v>
      </c>
      <c r="I6" s="4" t="s">
        <v>10</v>
      </c>
      <c r="J6" s="5" t="n">
        <f aca="false">B6</f>
        <v>50</v>
      </c>
      <c r="K6" s="5" t="n">
        <f aca="false">C6</f>
        <v>100</v>
      </c>
      <c r="L6" s="5" t="n">
        <f aca="false">D6</f>
        <v>100</v>
      </c>
      <c r="M6" s="5" t="n">
        <f aca="false">E6</f>
        <v>100</v>
      </c>
      <c r="N6" s="5" t="n">
        <f aca="false">F6</f>
        <v>100</v>
      </c>
      <c r="O6" s="5" t="n">
        <f aca="false">G6</f>
        <v>50</v>
      </c>
    </row>
    <row r="7" customFormat="false" ht="15" hidden="false" customHeight="false" outlineLevel="0" collapsed="false">
      <c r="A7" s="4" t="s">
        <v>11</v>
      </c>
      <c r="B7" s="5" t="n">
        <f aca="false">'Sweep 1'!J7</f>
        <v>0</v>
      </c>
      <c r="C7" s="5" t="n">
        <f aca="false">'Sweep 1'!K7</f>
        <v>25</v>
      </c>
      <c r="D7" s="5" t="n">
        <f aca="false">'Sweep 1'!L7</f>
        <v>25</v>
      </c>
      <c r="E7" s="5" t="n">
        <f aca="false">'Sweep 1'!M7</f>
        <v>25</v>
      </c>
      <c r="F7" s="5" t="n">
        <f aca="false">'Sweep 1'!N7</f>
        <v>25</v>
      </c>
      <c r="G7" s="5" t="n">
        <f aca="false">'Sweep 1'!O7</f>
        <v>0</v>
      </c>
      <c r="I7" s="4" t="s">
        <v>11</v>
      </c>
      <c r="J7" s="5" t="n">
        <f aca="false">B7</f>
        <v>0</v>
      </c>
      <c r="K7" s="5" t="n">
        <f aca="false">H25</f>
        <v>31.25</v>
      </c>
      <c r="L7" s="5" t="n">
        <f aca="false">H26</f>
        <v>37.5</v>
      </c>
      <c r="M7" s="5" t="n">
        <f aca="false">H27</f>
        <v>37.5</v>
      </c>
      <c r="N7" s="5" t="n">
        <f aca="false">H28</f>
        <v>31.25</v>
      </c>
      <c r="O7" s="5" t="n">
        <f aca="false">G7</f>
        <v>0</v>
      </c>
    </row>
    <row r="8" customFormat="false" ht="15" hidden="false" customHeight="false" outlineLevel="0" collapsed="false">
      <c r="A8" s="4" t="s">
        <v>12</v>
      </c>
      <c r="B8" s="5" t="n">
        <f aca="false">'Sweep 1'!J8</f>
        <v>0</v>
      </c>
      <c r="C8" s="5" t="n">
        <f aca="false">'Sweep 1'!K8</f>
        <v>0</v>
      </c>
      <c r="D8" s="5" t="n">
        <f aca="false">'Sweep 1'!L8</f>
        <v>0</v>
      </c>
      <c r="E8" s="5" t="n">
        <f aca="false">'Sweep 1'!M8</f>
        <v>0</v>
      </c>
      <c r="F8" s="5" t="n">
        <f aca="false">'Sweep 1'!N8</f>
        <v>0</v>
      </c>
      <c r="G8" s="5" t="n">
        <f aca="false">'Sweep 1'!O8</f>
        <v>0</v>
      </c>
      <c r="I8" s="4" t="s">
        <v>12</v>
      </c>
      <c r="J8" s="5" t="n">
        <f aca="false">B8</f>
        <v>0</v>
      </c>
      <c r="K8" s="5" t="n">
        <f aca="false">H29</f>
        <v>6.25</v>
      </c>
      <c r="L8" s="5" t="n">
        <f aca="false">H30</f>
        <v>6.25</v>
      </c>
      <c r="M8" s="5" t="n">
        <f aca="false">H31</f>
        <v>6.25</v>
      </c>
      <c r="N8" s="5" t="n">
        <f aca="false">H32</f>
        <v>6.25</v>
      </c>
      <c r="O8" s="5" t="n">
        <f aca="false">G8</f>
        <v>0</v>
      </c>
    </row>
    <row r="9" customFormat="false" ht="15" hidden="false" customHeight="false" outlineLevel="0" collapsed="false">
      <c r="A9" s="4" t="s">
        <v>13</v>
      </c>
      <c r="B9" s="5" t="n">
        <f aca="false">'Sweep 1'!J9</f>
        <v>0</v>
      </c>
      <c r="C9" s="5" t="n">
        <f aca="false">'Sweep 1'!K9</f>
        <v>0</v>
      </c>
      <c r="D9" s="5" t="n">
        <f aca="false">'Sweep 1'!L9</f>
        <v>0</v>
      </c>
      <c r="E9" s="5" t="n">
        <f aca="false">'Sweep 1'!M9</f>
        <v>0</v>
      </c>
      <c r="F9" s="5" t="n">
        <f aca="false">'Sweep 1'!N9</f>
        <v>0</v>
      </c>
      <c r="G9" s="5" t="n">
        <f aca="false">'Sweep 1'!O9</f>
        <v>0</v>
      </c>
      <c r="I9" s="4" t="s">
        <v>13</v>
      </c>
      <c r="J9" s="5" t="n">
        <f aca="false">B9</f>
        <v>0</v>
      </c>
      <c r="K9" s="5" t="n">
        <f aca="false">H33</f>
        <v>6.25</v>
      </c>
      <c r="L9" s="5" t="n">
        <f aca="false">H34</f>
        <v>6.25</v>
      </c>
      <c r="M9" s="5" t="n">
        <f aca="false">H35</f>
        <v>6.25</v>
      </c>
      <c r="N9" s="5" t="n">
        <f aca="false">H36</f>
        <v>6.25</v>
      </c>
      <c r="O9" s="5" t="n">
        <f aca="false">G9</f>
        <v>0</v>
      </c>
    </row>
    <row r="10" customFormat="false" ht="15" hidden="false" customHeight="false" outlineLevel="0" collapsed="false">
      <c r="A10" s="4" t="s">
        <v>14</v>
      </c>
      <c r="B10" s="5" t="n">
        <f aca="false">'Sweep 1'!J10</f>
        <v>0</v>
      </c>
      <c r="C10" s="5" t="n">
        <f aca="false">'Sweep 1'!K10</f>
        <v>25</v>
      </c>
      <c r="D10" s="5" t="n">
        <f aca="false">'Sweep 1'!L10</f>
        <v>25</v>
      </c>
      <c r="E10" s="5" t="n">
        <f aca="false">'Sweep 1'!M10</f>
        <v>25</v>
      </c>
      <c r="F10" s="5" t="n">
        <f aca="false">'Sweep 1'!N10</f>
        <v>25</v>
      </c>
      <c r="G10" s="5" t="n">
        <f aca="false">'Sweep 1'!O10</f>
        <v>0</v>
      </c>
      <c r="I10" s="4" t="s">
        <v>14</v>
      </c>
      <c r="J10" s="5" t="n">
        <f aca="false">B10</f>
        <v>0</v>
      </c>
      <c r="K10" s="5" t="n">
        <f aca="false">H37</f>
        <v>31.25</v>
      </c>
      <c r="L10" s="5" t="n">
        <f aca="false">H38</f>
        <v>37.5</v>
      </c>
      <c r="M10" s="5" t="n">
        <f aca="false">H39</f>
        <v>37.5</v>
      </c>
      <c r="N10" s="5" t="n">
        <f aca="false">H40</f>
        <v>31.25</v>
      </c>
      <c r="O10" s="5" t="n">
        <f aca="false">G10</f>
        <v>0</v>
      </c>
    </row>
    <row r="11" customFormat="false" ht="15" hidden="false" customHeight="false" outlineLevel="0" collapsed="false">
      <c r="A11" s="4" t="s">
        <v>15</v>
      </c>
      <c r="B11" s="5" t="n">
        <f aca="false">'Sweep 1'!J11</f>
        <v>50</v>
      </c>
      <c r="C11" s="5" t="n">
        <f aca="false">'Sweep 1'!K11</f>
        <v>100</v>
      </c>
      <c r="D11" s="5" t="n">
        <f aca="false">'Sweep 1'!L11</f>
        <v>100</v>
      </c>
      <c r="E11" s="5" t="n">
        <f aca="false">'Sweep 1'!M11</f>
        <v>100</v>
      </c>
      <c r="F11" s="5" t="n">
        <f aca="false">'Sweep 1'!N11</f>
        <v>100</v>
      </c>
      <c r="G11" s="5" t="n">
        <f aca="false">'Sweep 1'!O11</f>
        <v>50</v>
      </c>
      <c r="I11" s="4" t="s">
        <v>15</v>
      </c>
      <c r="J11" s="5" t="n">
        <f aca="false">B11</f>
        <v>50</v>
      </c>
      <c r="K11" s="5" t="n">
        <f aca="false">C11</f>
        <v>100</v>
      </c>
      <c r="L11" s="5" t="n">
        <f aca="false">D11</f>
        <v>100</v>
      </c>
      <c r="M11" s="5" t="n">
        <f aca="false">E11</f>
        <v>100</v>
      </c>
      <c r="N11" s="5" t="n">
        <f aca="false">F11</f>
        <v>100</v>
      </c>
      <c r="O11" s="5" t="n">
        <f aca="false">G11</f>
        <v>50</v>
      </c>
    </row>
    <row r="12" customFormat="false" ht="15" hidden="false" customHeight="false" outlineLevel="0" collapsed="false">
      <c r="B12" s="6" t="s">
        <v>16</v>
      </c>
    </row>
    <row r="13" customFormat="false" ht="15" hidden="false" customHeight="false" outlineLevel="0" collapsed="false">
      <c r="B13" s="3" t="s">
        <v>17</v>
      </c>
    </row>
    <row r="14" customFormat="false" ht="15" hidden="false" customHeight="false" outlineLevel="0" collapsed="false">
      <c r="B14" s="4" t="s">
        <v>4</v>
      </c>
      <c r="C14" s="4" t="s">
        <v>5</v>
      </c>
      <c r="D14" s="4" t="s">
        <v>6</v>
      </c>
      <c r="E14" s="4" t="s">
        <v>7</v>
      </c>
      <c r="F14" s="4" t="s">
        <v>8</v>
      </c>
      <c r="G14" s="4" t="s">
        <v>9</v>
      </c>
      <c r="I14" s="3" t="s">
        <v>18</v>
      </c>
    </row>
    <row r="15" customFormat="false" ht="15" hidden="false" customHeight="false" outlineLevel="0" collapsed="false">
      <c r="A15" s="4" t="s">
        <v>10</v>
      </c>
      <c r="B15" s="5" t="n">
        <f aca="false">ABS(J6-B6)</f>
        <v>0</v>
      </c>
      <c r="C15" s="5" t="n">
        <f aca="false">ABS(K6-C6)</f>
        <v>0</v>
      </c>
      <c r="D15" s="5" t="n">
        <f aca="false">ABS(L6-D6)</f>
        <v>0</v>
      </c>
      <c r="E15" s="5" t="n">
        <f aca="false">ABS(M6-E6)</f>
        <v>0</v>
      </c>
      <c r="F15" s="5" t="n">
        <f aca="false">ABS(N6-F6)</f>
        <v>0</v>
      </c>
      <c r="G15" s="5" t="n">
        <f aca="false">ABS(O6-G6)</f>
        <v>0</v>
      </c>
      <c r="I15" s="7" t="s">
        <v>19</v>
      </c>
      <c r="J15" s="8" t="n">
        <f aca="false">MAX(C16:F19)</f>
        <v>12.5</v>
      </c>
    </row>
    <row r="16" customFormat="false" ht="15" hidden="false" customHeight="false" outlineLevel="0" collapsed="false">
      <c r="A16" s="4" t="s">
        <v>11</v>
      </c>
      <c r="B16" s="5" t="n">
        <f aca="false">ABS(J7-B7)</f>
        <v>0</v>
      </c>
      <c r="C16" s="5" t="n">
        <f aca="false">ABS(K7-C7)</f>
        <v>6.25</v>
      </c>
      <c r="D16" s="5" t="n">
        <f aca="false">ABS(L7-D7)</f>
        <v>12.5</v>
      </c>
      <c r="E16" s="5" t="n">
        <f aca="false">ABS(M7-E7)</f>
        <v>12.5</v>
      </c>
      <c r="F16" s="5" t="n">
        <f aca="false">ABS(N7-F7)</f>
        <v>6.25</v>
      </c>
      <c r="G16" s="5" t="n">
        <f aca="false">ABS(O7-G7)</f>
        <v>0</v>
      </c>
      <c r="I16" s="7" t="s">
        <v>20</v>
      </c>
      <c r="J16" s="8" t="n">
        <f aca="false">Inputs!$C$8</f>
        <v>0.1</v>
      </c>
    </row>
    <row r="17" customFormat="false" ht="15" hidden="false" customHeight="false" outlineLevel="0" collapsed="false">
      <c r="A17" s="4" t="s">
        <v>12</v>
      </c>
      <c r="B17" s="5" t="n">
        <f aca="false">ABS(J8-B8)</f>
        <v>0</v>
      </c>
      <c r="C17" s="5" t="n">
        <f aca="false">ABS(K8-C8)</f>
        <v>6.25</v>
      </c>
      <c r="D17" s="5" t="n">
        <f aca="false">ABS(L8-D8)</f>
        <v>6.25</v>
      </c>
      <c r="E17" s="5" t="n">
        <f aca="false">ABS(M8-E8)</f>
        <v>6.25</v>
      </c>
      <c r="F17" s="5" t="n">
        <f aca="false">ABS(N8-F8)</f>
        <v>6.25</v>
      </c>
      <c r="G17" s="5" t="n">
        <f aca="false">ABS(O8-G8)</f>
        <v>0</v>
      </c>
      <c r="I17" s="7" t="s">
        <v>21</v>
      </c>
      <c r="J17" s="8" t="str">
        <f aca="false">IF(J15&lt;J16,"YES: stop","NO: do another sweep")</f>
        <v>NO: do another sweep</v>
      </c>
      <c r="K17" s="8"/>
      <c r="L17" s="8"/>
    </row>
    <row r="18" customFormat="false" ht="15" hidden="false" customHeight="false" outlineLevel="0" collapsed="false">
      <c r="A18" s="4" t="s">
        <v>13</v>
      </c>
      <c r="B18" s="5" t="n">
        <f aca="false">ABS(J9-B9)</f>
        <v>0</v>
      </c>
      <c r="C18" s="5" t="n">
        <f aca="false">ABS(K9-C9)</f>
        <v>6.25</v>
      </c>
      <c r="D18" s="5" t="n">
        <f aca="false">ABS(L9-D9)</f>
        <v>6.25</v>
      </c>
      <c r="E18" s="5" t="n">
        <f aca="false">ABS(M9-E9)</f>
        <v>6.25</v>
      </c>
      <c r="F18" s="5" t="n">
        <f aca="false">ABS(N9-F9)</f>
        <v>6.25</v>
      </c>
      <c r="G18" s="5" t="n">
        <f aca="false">ABS(O9-G9)</f>
        <v>0</v>
      </c>
    </row>
    <row r="19" customFormat="false" ht="15" hidden="false" customHeight="false" outlineLevel="0" collapsed="false">
      <c r="A19" s="4" t="s">
        <v>14</v>
      </c>
      <c r="B19" s="5" t="n">
        <f aca="false">ABS(J10-B10)</f>
        <v>0</v>
      </c>
      <c r="C19" s="5" t="n">
        <f aca="false">ABS(K10-C10)</f>
        <v>6.25</v>
      </c>
      <c r="D19" s="5" t="n">
        <f aca="false">ABS(L10-D10)</f>
        <v>12.5</v>
      </c>
      <c r="E19" s="5" t="n">
        <f aca="false">ABS(M10-E10)</f>
        <v>12.5</v>
      </c>
      <c r="F19" s="5" t="n">
        <f aca="false">ABS(N10-F10)</f>
        <v>6.25</v>
      </c>
      <c r="G19" s="5" t="n">
        <f aca="false">ABS(O10-G10)</f>
        <v>0</v>
      </c>
      <c r="I19" s="6" t="s">
        <v>22</v>
      </c>
    </row>
    <row r="20" customFormat="false" ht="15" hidden="false" customHeight="false" outlineLevel="0" collapsed="false">
      <c r="A20" s="4" t="s">
        <v>15</v>
      </c>
      <c r="B20" s="5" t="n">
        <f aca="false">ABS(J11-B11)</f>
        <v>0</v>
      </c>
      <c r="C20" s="5" t="n">
        <f aca="false">ABS(K11-C11)</f>
        <v>0</v>
      </c>
      <c r="D20" s="5" t="n">
        <f aca="false">ABS(L11-D11)</f>
        <v>0</v>
      </c>
      <c r="E20" s="5" t="n">
        <f aca="false">ABS(M11-E11)</f>
        <v>0</v>
      </c>
      <c r="F20" s="5" t="n">
        <f aca="false">ABS(N11-F11)</f>
        <v>0</v>
      </c>
      <c r="G20" s="5" t="n">
        <f aca="false">ABS(O11-G11)</f>
        <v>0</v>
      </c>
    </row>
    <row r="22" customFormat="false" ht="15" hidden="false" customHeight="false" outlineLevel="0" collapsed="false">
      <c r="A22" s="3" t="s">
        <v>23</v>
      </c>
    </row>
    <row r="23" customFormat="false" ht="15" hidden="false" customHeight="false" outlineLevel="0" collapsed="false">
      <c r="A23" s="2" t="s">
        <v>24</v>
      </c>
    </row>
    <row r="24" customFormat="false" ht="42" hidden="false" customHeight="true" outlineLevel="0" collapsed="false">
      <c r="B24" s="9" t="s">
        <v>25</v>
      </c>
      <c r="C24" s="9" t="s">
        <v>26</v>
      </c>
      <c r="D24" s="9" t="s">
        <v>27</v>
      </c>
      <c r="E24" s="9" t="s">
        <v>28</v>
      </c>
      <c r="F24" s="9" t="s">
        <v>29</v>
      </c>
      <c r="G24" s="9" t="s">
        <v>30</v>
      </c>
      <c r="H24" s="9" t="s">
        <v>31</v>
      </c>
      <c r="I24" s="9" t="s">
        <v>32</v>
      </c>
      <c r="J24" s="9" t="s">
        <v>33</v>
      </c>
    </row>
    <row r="25" customFormat="false" ht="15" hidden="false" customHeight="false" outlineLevel="0" collapsed="false">
      <c r="B25" s="10" t="s">
        <v>34</v>
      </c>
      <c r="C25" s="5" t="n">
        <f aca="false">C6</f>
        <v>100</v>
      </c>
      <c r="D25" s="5" t="n">
        <f aca="false">C8</f>
        <v>0</v>
      </c>
      <c r="E25" s="5" t="n">
        <f aca="false">B7</f>
        <v>0</v>
      </c>
      <c r="F25" s="5" t="n">
        <f aca="false">D7</f>
        <v>25</v>
      </c>
      <c r="G25" s="5" t="n">
        <f aca="false">SUM(C25:F25)</f>
        <v>125</v>
      </c>
      <c r="H25" s="11" t="n">
        <f aca="false">G25/4</f>
        <v>31.25</v>
      </c>
      <c r="I25" s="5" t="n">
        <f aca="false">C7</f>
        <v>25</v>
      </c>
      <c r="J25" s="5" t="n">
        <f aca="false">ABS(H25-I25)</f>
        <v>6.25</v>
      </c>
    </row>
    <row r="26" customFormat="false" ht="15" hidden="false" customHeight="false" outlineLevel="0" collapsed="false">
      <c r="B26" s="10" t="s">
        <v>35</v>
      </c>
      <c r="C26" s="5" t="n">
        <f aca="false">D6</f>
        <v>100</v>
      </c>
      <c r="D26" s="5" t="n">
        <f aca="false">D8</f>
        <v>0</v>
      </c>
      <c r="E26" s="5" t="n">
        <f aca="false">C7</f>
        <v>25</v>
      </c>
      <c r="F26" s="5" t="n">
        <f aca="false">E7</f>
        <v>25</v>
      </c>
      <c r="G26" s="5" t="n">
        <f aca="false">SUM(C26:F26)</f>
        <v>150</v>
      </c>
      <c r="H26" s="11" t="n">
        <f aca="false">G26/4</f>
        <v>37.5</v>
      </c>
      <c r="I26" s="5" t="n">
        <f aca="false">D7</f>
        <v>25</v>
      </c>
      <c r="J26" s="5" t="n">
        <f aca="false">ABS(H26-I26)</f>
        <v>12.5</v>
      </c>
    </row>
    <row r="27" customFormat="false" ht="15" hidden="false" customHeight="false" outlineLevel="0" collapsed="false">
      <c r="B27" s="10" t="s">
        <v>36</v>
      </c>
      <c r="C27" s="5" t="n">
        <f aca="false">E6</f>
        <v>100</v>
      </c>
      <c r="D27" s="5" t="n">
        <f aca="false">E8</f>
        <v>0</v>
      </c>
      <c r="E27" s="5" t="n">
        <f aca="false">D7</f>
        <v>25</v>
      </c>
      <c r="F27" s="5" t="n">
        <f aca="false">F7</f>
        <v>25</v>
      </c>
      <c r="G27" s="5" t="n">
        <f aca="false">SUM(C27:F27)</f>
        <v>150</v>
      </c>
      <c r="H27" s="11" t="n">
        <f aca="false">G27/4</f>
        <v>37.5</v>
      </c>
      <c r="I27" s="5" t="n">
        <f aca="false">E7</f>
        <v>25</v>
      </c>
      <c r="J27" s="5" t="n">
        <f aca="false">ABS(H27-I27)</f>
        <v>12.5</v>
      </c>
    </row>
    <row r="28" customFormat="false" ht="15" hidden="false" customHeight="false" outlineLevel="0" collapsed="false">
      <c r="B28" s="10" t="s">
        <v>37</v>
      </c>
      <c r="C28" s="5" t="n">
        <f aca="false">F6</f>
        <v>100</v>
      </c>
      <c r="D28" s="5" t="n">
        <f aca="false">F8</f>
        <v>0</v>
      </c>
      <c r="E28" s="5" t="n">
        <f aca="false">E7</f>
        <v>25</v>
      </c>
      <c r="F28" s="5" t="n">
        <f aca="false">G7</f>
        <v>0</v>
      </c>
      <c r="G28" s="5" t="n">
        <f aca="false">SUM(C28:F28)</f>
        <v>125</v>
      </c>
      <c r="H28" s="11" t="n">
        <f aca="false">G28/4</f>
        <v>31.25</v>
      </c>
      <c r="I28" s="5" t="n">
        <f aca="false">F7</f>
        <v>25</v>
      </c>
      <c r="J28" s="5" t="n">
        <f aca="false">ABS(H28-I28)</f>
        <v>6.25</v>
      </c>
    </row>
    <row r="29" customFormat="false" ht="15" hidden="false" customHeight="false" outlineLevel="0" collapsed="false">
      <c r="B29" s="10" t="s">
        <v>38</v>
      </c>
      <c r="C29" s="5" t="n">
        <f aca="false">C7</f>
        <v>25</v>
      </c>
      <c r="D29" s="5" t="n">
        <f aca="false">C9</f>
        <v>0</v>
      </c>
      <c r="E29" s="5" t="n">
        <f aca="false">B8</f>
        <v>0</v>
      </c>
      <c r="F29" s="5" t="n">
        <f aca="false">D8</f>
        <v>0</v>
      </c>
      <c r="G29" s="5" t="n">
        <f aca="false">SUM(C29:F29)</f>
        <v>25</v>
      </c>
      <c r="H29" s="11" t="n">
        <f aca="false">G29/4</f>
        <v>6.25</v>
      </c>
      <c r="I29" s="5" t="n">
        <f aca="false">C8</f>
        <v>0</v>
      </c>
      <c r="J29" s="5" t="n">
        <f aca="false">ABS(H29-I29)</f>
        <v>6.25</v>
      </c>
    </row>
    <row r="30" customFormat="false" ht="15" hidden="false" customHeight="false" outlineLevel="0" collapsed="false">
      <c r="B30" s="10" t="s">
        <v>39</v>
      </c>
      <c r="C30" s="5" t="n">
        <f aca="false">D7</f>
        <v>25</v>
      </c>
      <c r="D30" s="5" t="n">
        <f aca="false">D9</f>
        <v>0</v>
      </c>
      <c r="E30" s="5" t="n">
        <f aca="false">C8</f>
        <v>0</v>
      </c>
      <c r="F30" s="5" t="n">
        <f aca="false">E8</f>
        <v>0</v>
      </c>
      <c r="G30" s="5" t="n">
        <f aca="false">SUM(C30:F30)</f>
        <v>25</v>
      </c>
      <c r="H30" s="11" t="n">
        <f aca="false">G30/4</f>
        <v>6.25</v>
      </c>
      <c r="I30" s="5" t="n">
        <f aca="false">D8</f>
        <v>0</v>
      </c>
      <c r="J30" s="5" t="n">
        <f aca="false">ABS(H30-I30)</f>
        <v>6.25</v>
      </c>
    </row>
    <row r="31" customFormat="false" ht="15" hidden="false" customHeight="false" outlineLevel="0" collapsed="false">
      <c r="B31" s="10" t="s">
        <v>40</v>
      </c>
      <c r="C31" s="5" t="n">
        <f aca="false">E7</f>
        <v>25</v>
      </c>
      <c r="D31" s="5" t="n">
        <f aca="false">E9</f>
        <v>0</v>
      </c>
      <c r="E31" s="5" t="n">
        <f aca="false">D8</f>
        <v>0</v>
      </c>
      <c r="F31" s="5" t="n">
        <f aca="false">F8</f>
        <v>0</v>
      </c>
      <c r="G31" s="5" t="n">
        <f aca="false">SUM(C31:F31)</f>
        <v>25</v>
      </c>
      <c r="H31" s="11" t="n">
        <f aca="false">G31/4</f>
        <v>6.25</v>
      </c>
      <c r="I31" s="5" t="n">
        <f aca="false">E8</f>
        <v>0</v>
      </c>
      <c r="J31" s="5" t="n">
        <f aca="false">ABS(H31-I31)</f>
        <v>6.25</v>
      </c>
    </row>
    <row r="32" customFormat="false" ht="15" hidden="false" customHeight="false" outlineLevel="0" collapsed="false">
      <c r="B32" s="10" t="s">
        <v>41</v>
      </c>
      <c r="C32" s="5" t="n">
        <f aca="false">F7</f>
        <v>25</v>
      </c>
      <c r="D32" s="5" t="n">
        <f aca="false">F9</f>
        <v>0</v>
      </c>
      <c r="E32" s="5" t="n">
        <f aca="false">E8</f>
        <v>0</v>
      </c>
      <c r="F32" s="5" t="n">
        <f aca="false">G8</f>
        <v>0</v>
      </c>
      <c r="G32" s="5" t="n">
        <f aca="false">SUM(C32:F32)</f>
        <v>25</v>
      </c>
      <c r="H32" s="11" t="n">
        <f aca="false">G32/4</f>
        <v>6.25</v>
      </c>
      <c r="I32" s="5" t="n">
        <f aca="false">F8</f>
        <v>0</v>
      </c>
      <c r="J32" s="5" t="n">
        <f aca="false">ABS(H32-I32)</f>
        <v>6.25</v>
      </c>
    </row>
    <row r="33" customFormat="false" ht="15" hidden="false" customHeight="false" outlineLevel="0" collapsed="false">
      <c r="B33" s="10" t="s">
        <v>42</v>
      </c>
      <c r="C33" s="5" t="n">
        <f aca="false">C8</f>
        <v>0</v>
      </c>
      <c r="D33" s="5" t="n">
        <f aca="false">C10</f>
        <v>25</v>
      </c>
      <c r="E33" s="5" t="n">
        <f aca="false">B9</f>
        <v>0</v>
      </c>
      <c r="F33" s="5" t="n">
        <f aca="false">D9</f>
        <v>0</v>
      </c>
      <c r="G33" s="5" t="n">
        <f aca="false">SUM(C33:F33)</f>
        <v>25</v>
      </c>
      <c r="H33" s="11" t="n">
        <f aca="false">G33/4</f>
        <v>6.25</v>
      </c>
      <c r="I33" s="5" t="n">
        <f aca="false">C9</f>
        <v>0</v>
      </c>
      <c r="J33" s="5" t="n">
        <f aca="false">ABS(H33-I33)</f>
        <v>6.25</v>
      </c>
    </row>
    <row r="34" customFormat="false" ht="15" hidden="false" customHeight="false" outlineLevel="0" collapsed="false">
      <c r="B34" s="10" t="s">
        <v>43</v>
      </c>
      <c r="C34" s="5" t="n">
        <f aca="false">D8</f>
        <v>0</v>
      </c>
      <c r="D34" s="5" t="n">
        <f aca="false">D10</f>
        <v>25</v>
      </c>
      <c r="E34" s="5" t="n">
        <f aca="false">C9</f>
        <v>0</v>
      </c>
      <c r="F34" s="5" t="n">
        <f aca="false">E9</f>
        <v>0</v>
      </c>
      <c r="G34" s="5" t="n">
        <f aca="false">SUM(C34:F34)</f>
        <v>25</v>
      </c>
      <c r="H34" s="11" t="n">
        <f aca="false">G34/4</f>
        <v>6.25</v>
      </c>
      <c r="I34" s="5" t="n">
        <f aca="false">D9</f>
        <v>0</v>
      </c>
      <c r="J34" s="5" t="n">
        <f aca="false">ABS(H34-I34)</f>
        <v>6.25</v>
      </c>
    </row>
    <row r="35" customFormat="false" ht="15" hidden="false" customHeight="false" outlineLevel="0" collapsed="false">
      <c r="B35" s="10" t="s">
        <v>44</v>
      </c>
      <c r="C35" s="5" t="n">
        <f aca="false">E8</f>
        <v>0</v>
      </c>
      <c r="D35" s="5" t="n">
        <f aca="false">E10</f>
        <v>25</v>
      </c>
      <c r="E35" s="5" t="n">
        <f aca="false">D9</f>
        <v>0</v>
      </c>
      <c r="F35" s="5" t="n">
        <f aca="false">F9</f>
        <v>0</v>
      </c>
      <c r="G35" s="5" t="n">
        <f aca="false">SUM(C35:F35)</f>
        <v>25</v>
      </c>
      <c r="H35" s="11" t="n">
        <f aca="false">G35/4</f>
        <v>6.25</v>
      </c>
      <c r="I35" s="5" t="n">
        <f aca="false">E9</f>
        <v>0</v>
      </c>
      <c r="J35" s="5" t="n">
        <f aca="false">ABS(H35-I35)</f>
        <v>6.25</v>
      </c>
    </row>
    <row r="36" customFormat="false" ht="15" hidden="false" customHeight="false" outlineLevel="0" collapsed="false">
      <c r="B36" s="10" t="s">
        <v>45</v>
      </c>
      <c r="C36" s="5" t="n">
        <f aca="false">F8</f>
        <v>0</v>
      </c>
      <c r="D36" s="5" t="n">
        <f aca="false">F10</f>
        <v>25</v>
      </c>
      <c r="E36" s="5" t="n">
        <f aca="false">E9</f>
        <v>0</v>
      </c>
      <c r="F36" s="5" t="n">
        <f aca="false">G9</f>
        <v>0</v>
      </c>
      <c r="G36" s="5" t="n">
        <f aca="false">SUM(C36:F36)</f>
        <v>25</v>
      </c>
      <c r="H36" s="11" t="n">
        <f aca="false">G36/4</f>
        <v>6.25</v>
      </c>
      <c r="I36" s="5" t="n">
        <f aca="false">F9</f>
        <v>0</v>
      </c>
      <c r="J36" s="5" t="n">
        <f aca="false">ABS(H36-I36)</f>
        <v>6.25</v>
      </c>
    </row>
    <row r="37" customFormat="false" ht="15" hidden="false" customHeight="false" outlineLevel="0" collapsed="false">
      <c r="B37" s="10" t="s">
        <v>46</v>
      </c>
      <c r="C37" s="5" t="n">
        <f aca="false">C9</f>
        <v>0</v>
      </c>
      <c r="D37" s="5" t="n">
        <f aca="false">C11</f>
        <v>100</v>
      </c>
      <c r="E37" s="5" t="n">
        <f aca="false">B10</f>
        <v>0</v>
      </c>
      <c r="F37" s="5" t="n">
        <f aca="false">D10</f>
        <v>25</v>
      </c>
      <c r="G37" s="5" t="n">
        <f aca="false">SUM(C37:F37)</f>
        <v>125</v>
      </c>
      <c r="H37" s="11" t="n">
        <f aca="false">G37/4</f>
        <v>31.25</v>
      </c>
      <c r="I37" s="5" t="n">
        <f aca="false">C10</f>
        <v>25</v>
      </c>
      <c r="J37" s="5" t="n">
        <f aca="false">ABS(H37-I37)</f>
        <v>6.25</v>
      </c>
    </row>
    <row r="38" customFormat="false" ht="15" hidden="false" customHeight="false" outlineLevel="0" collapsed="false">
      <c r="B38" s="10" t="s">
        <v>47</v>
      </c>
      <c r="C38" s="5" t="n">
        <f aca="false">D9</f>
        <v>0</v>
      </c>
      <c r="D38" s="5" t="n">
        <f aca="false">D11</f>
        <v>100</v>
      </c>
      <c r="E38" s="5" t="n">
        <f aca="false">C10</f>
        <v>25</v>
      </c>
      <c r="F38" s="5" t="n">
        <f aca="false">E10</f>
        <v>25</v>
      </c>
      <c r="G38" s="5" t="n">
        <f aca="false">SUM(C38:F38)</f>
        <v>150</v>
      </c>
      <c r="H38" s="11" t="n">
        <f aca="false">G38/4</f>
        <v>37.5</v>
      </c>
      <c r="I38" s="5" t="n">
        <f aca="false">D10</f>
        <v>25</v>
      </c>
      <c r="J38" s="5" t="n">
        <f aca="false">ABS(H38-I38)</f>
        <v>12.5</v>
      </c>
    </row>
    <row r="39" customFormat="false" ht="15" hidden="false" customHeight="false" outlineLevel="0" collapsed="false">
      <c r="B39" s="10" t="s">
        <v>48</v>
      </c>
      <c r="C39" s="5" t="n">
        <f aca="false">E9</f>
        <v>0</v>
      </c>
      <c r="D39" s="5" t="n">
        <f aca="false">E11</f>
        <v>100</v>
      </c>
      <c r="E39" s="5" t="n">
        <f aca="false">D10</f>
        <v>25</v>
      </c>
      <c r="F39" s="5" t="n">
        <f aca="false">F10</f>
        <v>25</v>
      </c>
      <c r="G39" s="5" t="n">
        <f aca="false">SUM(C39:F39)</f>
        <v>150</v>
      </c>
      <c r="H39" s="11" t="n">
        <f aca="false">G39/4</f>
        <v>37.5</v>
      </c>
      <c r="I39" s="5" t="n">
        <f aca="false">E10</f>
        <v>25</v>
      </c>
      <c r="J39" s="5" t="n">
        <f aca="false">ABS(H39-I39)</f>
        <v>12.5</v>
      </c>
    </row>
    <row r="40" customFormat="false" ht="15" hidden="false" customHeight="false" outlineLevel="0" collapsed="false">
      <c r="B40" s="10" t="s">
        <v>49</v>
      </c>
      <c r="C40" s="5" t="n">
        <f aca="false">F9</f>
        <v>0</v>
      </c>
      <c r="D40" s="5" t="n">
        <f aca="false">F11</f>
        <v>100</v>
      </c>
      <c r="E40" s="5" t="n">
        <f aca="false">E10</f>
        <v>25</v>
      </c>
      <c r="F40" s="5" t="n">
        <f aca="false">G10</f>
        <v>0</v>
      </c>
      <c r="G40" s="5" t="n">
        <f aca="false">SUM(C40:F40)</f>
        <v>125</v>
      </c>
      <c r="H40" s="11" t="n">
        <f aca="false">G40/4</f>
        <v>31.25</v>
      </c>
      <c r="I40" s="5" t="n">
        <f aca="false">F10</f>
        <v>25</v>
      </c>
      <c r="J40" s="5" t="n">
        <f aca="false">ABS(H40-I40)</f>
        <v>6.25</v>
      </c>
    </row>
    <row r="42" customFormat="false" ht="15" hidden="false" customHeight="false" outlineLevel="0" collapsed="false">
      <c r="A42" s="12" t="s">
        <v>50</v>
      </c>
    </row>
    <row r="43" customFormat="false" ht="15" hidden="false" customHeight="false" outlineLevel="0" collapsed="false">
      <c r="A43" s="12" t="s">
        <v>51</v>
      </c>
    </row>
  </sheetData>
  <mergeCells count="1">
    <mergeCell ref="J17:L17"/>
  </mergeCells>
  <conditionalFormatting sqref="B6:G11">
    <cfRule type="colorScale" priority="2">
      <colorScale>
        <cfvo type="num" val="0"/>
        <cfvo type="num" val="50"/>
        <cfvo type="num" val="100"/>
        <color rgb="FF5AA0C8"/>
        <color rgb="FFF4EFE4"/>
        <color rgb="FFE0583F"/>
      </colorScale>
    </cfRule>
  </conditionalFormatting>
  <conditionalFormatting sqref="J6:O11">
    <cfRule type="colorScale" priority="3">
      <colorScale>
        <cfvo type="num" val="0"/>
        <cfvo type="num" val="50"/>
        <cfvo type="num" val="100"/>
        <color rgb="FF5AA0C8"/>
        <color rgb="FFF4EFE4"/>
        <color rgb="FFE0583F"/>
      </colorScale>
    </cfRule>
  </conditionalFormatting>
  <conditionalFormatting sqref="H25:H40">
    <cfRule type="colorScale" priority="4">
      <colorScale>
        <cfvo type="num" val="0"/>
        <cfvo type="num" val="50"/>
        <cfvo type="num" val="100"/>
        <color rgb="FF5AA0C8"/>
        <color rgb="FFF4EFE4"/>
        <color rgb="FFE0583F"/>
      </colorScale>
    </cfRule>
  </conditionalFormatting>
  <conditionalFormatting sqref="B15:G20">
    <cfRule type="colorScale" priority="5">
      <colorScale>
        <cfvo type="num" val="0"/>
        <cfvo type="max" val="0"/>
        <color rgb="FFFFFFFF"/>
        <color rgb="FFF0A24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4"/>
    <col collapsed="false" customWidth="true" hidden="false" outlineLevel="0" max="4" min="4" style="0" width="70"/>
  </cols>
  <sheetData>
    <row r="1" customFormat="false" ht="17.35" hidden="false" customHeight="false" outlineLevel="0" collapsed="false">
      <c r="B1" s="13" t="s">
        <v>56</v>
      </c>
    </row>
    <row r="2" customFormat="false" ht="15" hidden="false" customHeight="false" outlineLevel="0" collapsed="false">
      <c r="B2" s="12" t="s">
        <v>57</v>
      </c>
    </row>
    <row r="3" customFormat="false" ht="15" hidden="false" customHeight="false" outlineLevel="0" collapsed="false">
      <c r="B3" s="14" t="s">
        <v>58</v>
      </c>
      <c r="C3" s="15" t="n">
        <v>100</v>
      </c>
      <c r="D3" s="16" t="s">
        <v>59</v>
      </c>
    </row>
    <row r="4" customFormat="false" ht="15" hidden="false" customHeight="false" outlineLevel="0" collapsed="false">
      <c r="B4" s="14" t="s">
        <v>60</v>
      </c>
      <c r="C4" s="15" t="n">
        <v>100</v>
      </c>
      <c r="D4" s="16" t="s">
        <v>61</v>
      </c>
    </row>
    <row r="5" customFormat="false" ht="15" hidden="false" customHeight="false" outlineLevel="0" collapsed="false">
      <c r="B5" s="14" t="s">
        <v>62</v>
      </c>
      <c r="C5" s="15" t="n">
        <v>0</v>
      </c>
      <c r="D5" s="16" t="s">
        <v>63</v>
      </c>
    </row>
    <row r="6" customFormat="false" ht="15" hidden="false" customHeight="false" outlineLevel="0" collapsed="false">
      <c r="B6" s="14" t="s">
        <v>64</v>
      </c>
      <c r="C6" s="15" t="n">
        <v>0</v>
      </c>
      <c r="D6" s="16" t="s">
        <v>65</v>
      </c>
    </row>
    <row r="7" customFormat="false" ht="15" hidden="false" customHeight="false" outlineLevel="0" collapsed="false">
      <c r="B7" s="14" t="s">
        <v>66</v>
      </c>
      <c r="C7" s="15" t="n">
        <v>0</v>
      </c>
      <c r="D7" s="16" t="s">
        <v>67</v>
      </c>
    </row>
    <row r="8" customFormat="false" ht="15" hidden="false" customHeight="false" outlineLevel="0" collapsed="false">
      <c r="B8" s="14" t="s">
        <v>20</v>
      </c>
      <c r="C8" s="17" t="n">
        <v>0.1</v>
      </c>
      <c r="D8" s="16" t="s">
        <v>68</v>
      </c>
    </row>
    <row r="9" customFormat="false" ht="15" hidden="false" customHeight="false" outlineLevel="0" collapsed="false">
      <c r="B9" s="14" t="s">
        <v>69</v>
      </c>
      <c r="C9" s="18" t="n">
        <v>6</v>
      </c>
      <c r="D9" s="16" t="s">
        <v>70</v>
      </c>
    </row>
    <row r="11" customFormat="false" ht="15" hidden="false" customHeight="false" outlineLevel="0" collapsed="false">
      <c r="B11" s="19" t="s">
        <v>71</v>
      </c>
    </row>
    <row r="12" customFormat="false" ht="15" hidden="false" customHeight="false" outlineLevel="0" collapsed="false">
      <c r="B12" s="14"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 collapsed="false" customWidth="true" hidden="false" outlineLevel="0" max="3" min="3" style="0" width="16"/>
  </cols>
  <sheetData>
    <row r="1" customFormat="false" ht="18.55" hidden="false" customHeight="false" outlineLevel="0" collapsed="false">
      <c r="B1" s="1" t="s">
        <v>73</v>
      </c>
    </row>
    <row r="3" customFormat="false" ht="15" hidden="false" customHeight="false" outlineLevel="0" collapsed="false">
      <c r="B3" s="3" t="s">
        <v>74</v>
      </c>
    </row>
    <row r="4" customFormat="false" ht="48.75" hidden="false" customHeight="true" outlineLevel="0" collapsed="false">
      <c r="B4" s="20" t="s">
        <v>75</v>
      </c>
    </row>
    <row r="6" customFormat="false" ht="15" hidden="false" customHeight="false" outlineLevel="0" collapsed="false">
      <c r="B6" s="3" t="s">
        <v>76</v>
      </c>
    </row>
    <row r="7" customFormat="false" ht="63.75" hidden="false" customHeight="true" outlineLevel="0" collapsed="false">
      <c r="B7" s="20" t="s">
        <v>77</v>
      </c>
    </row>
    <row r="9" customFormat="false" ht="15" hidden="false" customHeight="false" outlineLevel="0" collapsed="false">
      <c r="B9" s="3" t="s">
        <v>78</v>
      </c>
    </row>
    <row r="10" customFormat="false" ht="63.75" hidden="false" customHeight="true" outlineLevel="0" collapsed="false">
      <c r="B10" s="20" t="s">
        <v>79</v>
      </c>
    </row>
    <row r="12" customFormat="false" ht="15" hidden="false" customHeight="false" outlineLevel="0" collapsed="false">
      <c r="B12" s="3" t="s">
        <v>80</v>
      </c>
    </row>
    <row r="13" customFormat="false" ht="63.75" hidden="false" customHeight="true" outlineLevel="0" collapsed="false">
      <c r="B13" s="20" t="s">
        <v>81</v>
      </c>
    </row>
    <row r="15" customFormat="false" ht="15" hidden="false" customHeight="false" outlineLevel="0" collapsed="false">
      <c r="B15" s="3" t="s">
        <v>82</v>
      </c>
    </row>
    <row r="16" customFormat="false" ht="48.75" hidden="false" customHeight="true" outlineLevel="0" collapsed="false">
      <c r="B16" s="20" t="s">
        <v>83</v>
      </c>
    </row>
    <row r="18" customFormat="false" ht="15" hidden="false" customHeight="false" outlineLevel="0" collapsed="false">
      <c r="B18" s="3" t="s">
        <v>84</v>
      </c>
    </row>
    <row r="19" customFormat="false" ht="63.75" hidden="false" customHeight="true" outlineLevel="0" collapsed="false">
      <c r="B19" s="20" t="s">
        <v>85</v>
      </c>
    </row>
    <row r="21" customFormat="false" ht="15" hidden="false" customHeight="false" outlineLevel="0" collapsed="false">
      <c r="B21" s="3" t="s">
        <v>86</v>
      </c>
    </row>
    <row r="22" customFormat="false" ht="63.75" hidden="false" customHeight="true" outlineLevel="0" collapsed="false">
      <c r="B22" s="20" t="s">
        <v>87</v>
      </c>
    </row>
    <row r="24" customFormat="false" ht="15" hidden="false" customHeight="false" outlineLevel="0" collapsed="false">
      <c r="B24" s="3" t="s">
        <v>88</v>
      </c>
    </row>
    <row r="25" customFormat="false" ht="15" hidden="false" customHeight="false" outlineLevel="0" collapsed="false">
      <c r="B25" s="7" t="s">
        <v>89</v>
      </c>
      <c r="C25" s="21" t="n">
        <f aca="false">Inputs!$C$9-2</f>
        <v>4</v>
      </c>
    </row>
    <row r="26" customFormat="false" ht="15" hidden="false" customHeight="false" outlineLevel="0" collapsed="false">
      <c r="B26" s="7" t="s">
        <v>90</v>
      </c>
      <c r="C26" s="22" t="n">
        <f aca="false">COS(PI()/(C25+1))</f>
        <v>0.809016994374948</v>
      </c>
    </row>
    <row r="27" customFormat="false" ht="15" hidden="false" customHeight="false" outlineLevel="0" collapsed="false">
      <c r="B27" s="7" t="s">
        <v>91</v>
      </c>
      <c r="C27" s="23" t="n">
        <f aca="false">'Sweep 1'!J15</f>
        <v>25</v>
      </c>
    </row>
    <row r="28" customFormat="false" ht="15" hidden="false" customHeight="false" outlineLevel="0" collapsed="false">
      <c r="B28" s="7" t="s">
        <v>20</v>
      </c>
      <c r="C28" s="24" t="n">
        <f aca="false">Inputs!$C$8</f>
        <v>0.1</v>
      </c>
    </row>
    <row r="29" customFormat="false" ht="15" hidden="false" customHeight="false" outlineLevel="0" collapsed="false">
      <c r="B29" s="7" t="s">
        <v>92</v>
      </c>
      <c r="C29" s="21" t="n">
        <f aca="false">IF(C27&lt;=C28,1,ROUNDUP(LN(C28/C27)/LN(C26),0))</f>
        <v>27</v>
      </c>
    </row>
    <row r="31" customFormat="false" ht="15" hidden="false" customHeight="false" outlineLevel="0" collapsed="false">
      <c r="B31" s="2"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2026-10-15T18:48:04Z</dcterms:created>
  <dc:creator>openpyxl</dc:creator>
  <dc:description/>
  <dc:language>en-US</dc:language>
  <cp:lastModifiedBy/>
  <dcterms:modified xsi:type="dcterms:W3CDTF">2026-10-15T18:48:05Z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